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drawing9.xml" ContentType="application/vnd.openxmlformats-officedocument.drawing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1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2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drawing1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comments4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894" firstSheet="0" activeTab="10"/>
  </bookViews>
  <sheets>
    <sheet name="Inversión Inicial" sheetId="1" state="visible" r:id="rId3"/>
    <sheet name="Pago de Inversiones" sheetId="2" state="visible" r:id="rId4"/>
    <sheet name="Necesidades de finaciación" sheetId="3" state="visible" r:id="rId5"/>
    <sheet name="Costes produción y ventas" sheetId="4" state="visible" r:id="rId6"/>
    <sheet name="Liquidación de IVA" sheetId="5" state="visible" r:id="rId7"/>
    <sheet name="Gasto Fijos y Variables" sheetId="6" state="visible" r:id="rId8"/>
    <sheet name="Gastos de Personal" sheetId="7" state="visible" r:id="rId9"/>
    <sheet name="Amortización Contable" sheetId="8" state="visible" r:id="rId10"/>
    <sheet name="Flujo de Caja" sheetId="9" state="visible" r:id="rId11"/>
    <sheet name="Cuenta de Resultados Mensual" sheetId="10" state="visible" r:id="rId12"/>
    <sheet name="Balance" sheetId="11" state="visible" r:id="rId13"/>
    <sheet name="Cuenta de Resultados Proyectada" sheetId="12" state="visible" r:id="rId14"/>
  </sheets>
  <definedNames>
    <definedName function="false" hidden="false" localSheetId="7" name="_xlnm.Print_Area" vbProcedure="false">'Amortización Contable'!$B$2:$F$28</definedName>
    <definedName function="false" hidden="false" localSheetId="10" name="_xlnm.Print_Area" vbProcedure="false">Balance!$B$2:$F$39</definedName>
    <definedName function="false" hidden="false" localSheetId="3" name="_xlnm.Print_Area" vbProcedure="false">'Costes produción y ventas'!$A$2:$S$64</definedName>
    <definedName function="false" hidden="false" localSheetId="9" name="_xlnm.Print_Area" vbProcedure="false">'Cuenta de Resultados Mensual'!$B$3:$O$19</definedName>
    <definedName function="false" hidden="false" localSheetId="11" name="_xlnm.Print_Area" vbProcedure="false">'Cuenta de Resultados Proyectada'!$A$1:$G$31</definedName>
    <definedName function="false" hidden="false" localSheetId="8" name="_xlnm.Print_Area" vbProcedure="false">'Flujo de Caja'!$A$1:$P$26</definedName>
    <definedName function="false" hidden="false" localSheetId="5" name="_xlnm.Print_Area" vbProcedure="false">'Gasto Fijos y Variables'!$A$1:$AY$49</definedName>
    <definedName function="false" hidden="false" localSheetId="6" name="_xlnm.Print_Area" vbProcedure="false">'Gastos de Personal'!$A$1:$O$43</definedName>
    <definedName function="false" hidden="false" localSheetId="0" name="_xlnm.Print_Area" vbProcedure="false">'Inversión Inicial'!$A$1:$K$28</definedName>
    <definedName function="false" hidden="false" localSheetId="4" name="_xlnm.Print_Area" vbProcedure="false">'Liquidación de IVA'!$A$2:$I$25</definedName>
    <definedName function="false" hidden="false" localSheetId="2" name="_xlnm.Print_Area" vbProcedure="false">'Necesidades de finaciación'!$A$1:$J$25</definedName>
    <definedName function="false" hidden="false" localSheetId="1" name="_xlnm.Print_Area" vbProcedure="false">'Pago de Inversiones'!$B$3:$AD$27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Conjunto de elementos patrimoniales tangibles, muebles e inmuebles, que se utilizan en la actividad de la empresa y que no están destinados a la venta.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4</xdr:row>
                <xdr:rowOff>3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Compra de terrenos necesarios para el desarrollo de la actividad productiva.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Comprar de bienes inmuebles, construcción de nuevos edificiso o locales o reformas sustanciales que son necesarios para el desarrollo de la actividad.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4</xdr:row>
                <xdr:rowOff>3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Instalaciones necesarias para llevar a cabo el proceso productivo.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Maquinaria específica para el desarrollo de la actividad productiva.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Equipos necesarios para el desarrollo del proceso productivo.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Bienes para la adecuación de oficinas y locales.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Instalaciones y materiales no relacionados con el proceso de producción.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64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Vehículos destinados a uso del negocio junto con todos los complementos necesarios para posibilitar el transporte de los bienes objeto del negocio.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3</xdr:row>
                <xdr:rowOff>23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Ordenadores, servidores de aplicaciones, pantallas, periféricos, impresoras, grabadores, soporte de grabación, etc.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3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Conjunto de bienes intangibles y derechos que permanecesn en el tiempo y se utilizan en la producción de bienes y servicios.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13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Para empresas tecnológicas que presenten un nuevo proyecto de inversión.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Derechos de uso de tecnología, productos o marcas ya existentes y registradas o registrados de nuevas.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13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Software requerido como soporte a la actividad empresarial. Puede ser una adquisición o desarrollo a medida para el negocio.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3</xdr:row>
                <xdr:rowOff>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Derecho de uso de bienes que no son propiedad de la empresa ...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Derecho de uso de una imagen o un nombre por la empresa.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Derecho de uso de bienes que no son proiedad de la empresa...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Bienes y derechos necesarios para actividad y que van a permanecer en la empresa durante un periodo inferior a un año.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3</xdr:row>
                <xdr:rowOff>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Compra de productos necesarios para el arranque de la actividad.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Bienes y derechos que se aportan por parte de los socios a la empresa y que forman parte del capital social.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64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Bienes y derechos que se aportan por parte de los socios a la empresa y que forman parte del capital social.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64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Bienes y derechos que se aportan por parte de los socios a la empresa y que forman parte del capital social.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64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Se obtiene automáticamente como la suma de los elementos de Inmovilizado Material introducidos anteriormente.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3</xdr:row>
                <xdr:rowOff>8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Se obtiene automáticamente como la suma de los elementos de Inmovilizado Inmaterial introducidos anteriormente.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3</xdr:row>
                <xdr:rowOff>8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Suma de Inmovilizado Material e Inmaterial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Se obtiene automáticamente de los datos introducidos en Existencias del Activo Corriente.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64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Estimación de dinero que se necesita inicialmente. Se calcula automáticamente del importe de Necesidades de Financiación Totales y las necesidades de Inversión totales.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4</xdr:row>
                <xdr:rowOff>18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Suma del total de iva soportado en la inversión inicial (incluye Inmovilizado Material, Inmaterial y Activo Corriente) que sea adquirido a empresas.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3</xdr:row>
                <xdr:rowOff>23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Suma de total de ITPYAJD en la inversión inicial (Incluye Inmovilizado Material, Inmaterial y Activo Corriente), que sean adquiridos a particulares.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3</xdr:row>
                <xdr:rowOff>23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Suma de existencias inciales, impuestos y tesoreria inicial para comenzar la actividad.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61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R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T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V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X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Z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AB5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59</xdr:rowOff>
              </xdr:to>
            </anchor>
          </commentPr>
        </mc:Choice>
        <mc:Fallback/>
      </mc:AlternateContent>
    </comment>
    <comment ref="AD5" authorId="0">
      <text>
        <r>
          <rPr>
            <sz val="10"/>
            <rFont val="Arial"/>
            <family val="2"/>
          </rPr>
          <t xml:space="preserve">Si la cantidad inicial está bien distribuida en lo meses, su resultado es cero.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-9</xdr:colOff>
                <xdr:row>2</xdr:row>
                <xdr:rowOff>44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25" authorId="0">
      <text>
        <r>
          <rPr>
            <sz val="10"/>
            <rFont val="Arial"/>
            <family val="2"/>
          </rPr>
          <t xml:space="preserve">Evidencia externa complementaria: CTAEX/FOODLAB, Extremadura Empresarial, Junta de Extremadura y GitHub/Traky12. Ver Anexo H de la memoria V5.6.2. Estas fuentes no sustituyen contratos, clientes, cobros ni Gates.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5</xdr:row>
                <xdr:rowOff>6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Aportaciones dinerarias o en especie que van a constituir el capital inicial con el que arrancará el negocio.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Se incluye el capital social incluido en escrituras más otras aportaciones dinerarias.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Pasivo no Corriente. Se consideran los que tienen un periodo de devolución de más de un año y suele finanaciar activos fijos.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22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Pasivo Corriente. Se considerán los que tienen un plazo de devolución inferior a un año.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7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Proviene de los bienes y derechos aportados en especie que se han indicado en la inversión inicial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7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Suma de aportacioness en Especie y Dinerarias.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4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Suma de Aportaciones de socios Total y otros (pago único desempleo)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4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Se obtiene como la suma de las cantidades solicitadas en microcréditos y préstamos a largo plazo.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22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Suma de Deudas Bancarias y otras deudas a largo plazo.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4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Proviene del pago de inversiones aplazado a proveedores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4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Suma de recursos propios y de recursos ajenos a L/P.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4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Las necesidades de financiación a L/P salen de la diferencia entre las necesidades totales (tabla inversión inicial), los recursos propios de la tabla.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44</xdr:colOff>
                <xdr:row>2</xdr:row>
                <xdr:rowOff>37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3" authorId="0">
      <text>
        <r>
          <rPr>
            <sz val="10"/>
            <rFont val="Arial"/>
            <family val="2"/>
          </rPr>
          <t xml:space="preserve">
Se calcula de forma automática, entre el precio unidad y el % IVA aplicado.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34</xdr:colOff>
                <xdr:row>2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Se calcula de forma automática, entre el precio unidad y el % IVA aplicado.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34</xdr:colOff>
                <xdr:row>2</xdr:row>
                <xdr:rowOff>15</xdr:rowOff>
              </xdr:to>
            </anchor>
          </commentPr>
        </mc:Choice>
        <mc:Fallback/>
      </mc:AlternateContent>
    </comment>
    <comment ref="G3" authorId="0">
      <text>
        <r>
          <rPr>
            <sz val="10"/>
            <rFont val="Arial"/>
            <family val="2"/>
          </rPr>
          <t xml:space="preserve">Se calcula de forma automática, entre el total de unidades anuales y subtotal del precio por unidad.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34</xdr:colOff>
                <xdr:row>2</xdr:row>
                <xdr:rowOff>18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Se calcula de forma automática, entre el total de unidades anuales y subtotal del precio por unidad.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34</xdr:colOff>
                <xdr:row>2</xdr:row>
                <xdr:rowOff>18</xdr:rowOff>
              </xdr:to>
            </anchor>
          </commentPr>
        </mc:Choice>
        <mc:Fallback/>
      </mc:AlternateContent>
    </comment>
    <comment ref="T20" authorId="0">
      <text>
        <r>
          <rPr>
            <sz val="10"/>
            <rFont val="Arial"/>
            <family val="2"/>
          </rPr>
          <t xml:space="preserve">Si la cantidad inicial está bien distribuida en lo meses, su resultado es cero.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34</xdr:colOff>
                <xdr:row>2</xdr:row>
                <xdr:rowOff>15</xdr:rowOff>
              </xdr:to>
            </anchor>
          </commentPr>
        </mc:Choice>
        <mc:Fallback/>
      </mc:AlternateContent>
    </comment>
    <comment ref="T28" authorId="0">
      <text>
        <r>
          <rPr>
            <sz val="10"/>
            <rFont val="Arial"/>
            <family val="2"/>
          </rPr>
          <t xml:space="preserve">Si la cantidad inicial está bien distribuida en lo meses, su resultado es cero.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34</xdr:colOff>
                <xdr:row>2</xdr:row>
                <xdr:rowOff>15</xdr:rowOff>
              </xdr:to>
            </anchor>
          </commentPr>
        </mc:Choice>
        <mc:Fallback/>
      </mc:AlternateContent>
    </comment>
    <comment ref="T36" authorId="0">
      <text>
        <r>
          <rPr>
            <sz val="10"/>
            <rFont val="Arial"/>
            <family val="2"/>
          </rPr>
          <t xml:space="preserve">Si la cantidad inicial está bien distribuida en lo meses, su resultado es cero.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34</xdr:colOff>
                <xdr:row>2</xdr:row>
                <xdr:rowOff>15</xdr:rowOff>
              </xdr:to>
            </anchor>
          </commentPr>
        </mc:Choice>
        <mc:Fallback/>
      </mc:AlternateContent>
    </comment>
    <comment ref="T44" authorId="0">
      <text>
        <r>
          <rPr>
            <sz val="10"/>
            <rFont val="Arial"/>
            <family val="2"/>
          </rPr>
          <t xml:space="preserve">Si la cantidad inicial está bien distribuida en lo meses, su resultado es cero.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34</xdr:colOff>
                <xdr:row>2</xdr:row>
                <xdr:rowOff>15</xdr:rowOff>
              </xdr:to>
            </anchor>
          </commentPr>
        </mc:Choice>
        <mc:Fallback/>
      </mc:AlternateContent>
    </comment>
    <comment ref="T52" authorId="0">
      <text>
        <r>
          <rPr>
            <sz val="10"/>
            <rFont val="Arial"/>
            <family val="2"/>
          </rPr>
          <t xml:space="preserve">Si la cantidad inicial está bien distribuida en lo meses, su resultado es cero.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34</xdr:colOff>
                <xdr:row>2</xdr:row>
                <xdr:rowOff>15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Incluye el total de IVA soportado en compras, en gastos generales, en la inversión inicial.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27</xdr:colOff>
                <xdr:row>2</xdr:row>
                <xdr:rowOff>44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======
ID#AAAB43MrhOI
Usuario    (2026-04-06 06:15:37)
Incluye el total de IVA repercutido en ingresos durante el ejercicio.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27</xdr:colOff>
                <xdr:row>4</xdr:row>
                <xdr:rowOff>3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M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M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M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Q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Q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Q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U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U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U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Y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Y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Y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C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C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AC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G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G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AG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K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K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AK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O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O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AO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S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S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AS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W6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W13" authorId="0">
      <text>
        <r>
          <rPr>
            <sz val="10"/>
            <rFont val="Arial"/>
            <family val="2"/>
          </rPr>
          <t xml:space="preserve">Operaciones de seguro exentas de IVA (art. 20.Uno.16.º LIVA)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AW27" authorId="0">
      <text>
        <r>
          <rPr>
            <sz val="10"/>
            <rFont val="Arial"/>
            <family val="2"/>
          </rPr>
          <t xml:space="preserve">Poner el % que se va al pagar este mes, con respecto al total inicial. La cantidad se calcula de forma automática.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59</xdr:rowOff>
              </xdr:to>
            </anchor>
          </commentPr>
        </mc:Choice>
        <mc:Fallback/>
      </mc:AlternateContent>
    </comment>
    <comment ref="AZ6" authorId="0">
      <text>
        <r>
          <rPr>
            <sz val="10"/>
            <rFont val="Arial"/>
            <family val="2"/>
          </rPr>
          <t xml:space="preserve">Si la cantidad inicial está bien distribuida en los meses, su resultado es cero.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41</xdr:rowOff>
              </xdr:to>
            </anchor>
          </commentPr>
        </mc:Choice>
        <mc:Fallback/>
      </mc:AlternateContent>
    </comment>
    <comment ref="AZ27" authorId="0">
      <text>
        <r>
          <rPr>
            <sz val="10"/>
            <rFont val="Arial"/>
            <family val="2"/>
          </rPr>
          <t xml:space="preserve">Si la cantidad inicial está bien distribuida en los meses, su resultado es cero.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-39</xdr:colOff>
                <xdr:row>2</xdr:row>
                <xdr:rowOff>44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Cifras sujetas a revisión documental; las hipótesis no son resultados conseguidos.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44</xdr:rowOff>
              </xdr:to>
            </anchor>
          </commentPr>
        </mc:Choice>
        <mc:Fallback/>
      </mc:AlternateContent>
    </comment>
    <comment ref="O7" authorId="0">
      <text>
        <r>
          <rPr>
            <sz val="10"/>
            <rFont val="Arial"/>
            <family val="2"/>
          </rPr>
          <t xml:space="preserve">Consumos Año 1: fórmula o input de fuente única oficial; no incluye partidas no documentadas.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44</xdr:rowOff>
              </xdr:to>
            </anchor>
          </commentPr>
        </mc:Choice>
        <mc:Fallback/>
      </mc:AlternateContent>
    </comment>
    <comment ref="O14" authorId="0">
      <text>
        <r>
          <rPr>
            <sz val="10"/>
            <rFont val="Arial"/>
            <family val="2"/>
          </rPr>
          <t xml:space="preserve">Resultado de explotación Año 1: fórmula o input de fuente única oficial; no incluye partidas no documentadas.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59</xdr:rowOff>
              </xdr:to>
            </anchor>
          </commentPr>
        </mc:Choice>
        <mc:Fallback/>
      </mc:AlternateContent>
    </comment>
    <comment ref="O17" authorId="0">
      <text>
        <r>
          <rPr>
            <sz val="10"/>
            <rFont val="Arial"/>
            <family val="2"/>
          </rPr>
          <t xml:space="preserve">Resultado antes de impuestos Año 1: fórmula o input de fuente única oficial; no incluye partidas no documentadas.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59</xdr:rowOff>
              </xdr:to>
            </anchor>
          </commentPr>
        </mc:Choice>
        <mc:Fallback/>
      </mc:AlternateContent>
    </comment>
    <comment ref="O19" authorId="0">
      <text>
        <r>
          <rPr>
            <sz val="10"/>
            <rFont val="Arial"/>
            <family val="2"/>
          </rPr>
          <t xml:space="preserve">Seguimiento de resultado final Año 1 reconciliado.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41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Cifras sujetas a revisión documental; las hipótesis no son resultados conseguidos.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1</xdr:row>
                <xdr:rowOff>64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Este valor sale de la Invesión Inical de Existencias Iniciales (M.P., productos terminados, envases y embalajes)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13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Este valor sale del importe puesto en Préstamo a Largo Plazo (Necesidades de Financiación), dividido por el número de años.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3</xdr:row>
                <xdr:rowOff>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Este valor sale del importe puesto en Microcréditos (Necesidades de Financiación), dividido por el número de años.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3</xdr:row>
                <xdr:rowOff>8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Cifras sujetas a revisión documental; las hipótesis no son resultados conseguidos.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7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Consumos Año 1: fuente única oficial.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4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Resultado de explotación derivado de ingresos menos consumos y gastos de explotación visibles en la cuenta mensual oficial.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37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Resultado antes de impuestos derivado del resultado de explotación menos gastos financieros visibles.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133</xdr:colOff>
                <xdr:row>2</xdr:row>
                <xdr:rowOff>22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<sst xmlns="http://schemas.openxmlformats.org/spreadsheetml/2006/main" count="777" uniqueCount="313">
  <si>
    <t xml:space="preserve">ESCENARIO BASE DOCUMENTAL: la Fase 1 se planifica en 165.000 € prudente / 180.000 € central / 195.000 € techo. No equivale a caja cobrada.</t>
  </si>
  <si>
    <t xml:space="preserve">Inversión Inicial</t>
  </si>
  <si>
    <t xml:space="preserve">Inmovilizado Material</t>
  </si>
  <si>
    <t xml:space="preserve">Concepto</t>
  </si>
  <si>
    <t xml:space="preserve">Adq. a Empresas (sin IVA)</t>
  </si>
  <si>
    <t xml:space="preserve">IVA     21%</t>
  </si>
  <si>
    <t xml:space="preserve">Adq. a Particulares     (ITPYAJD)</t>
  </si>
  <si>
    <t xml:space="preserve">ITPYAJD         </t>
  </si>
  <si>
    <t xml:space="preserve">Aportación en Especie</t>
  </si>
  <si>
    <t xml:space="preserve">TOTALES</t>
  </si>
  <si>
    <t xml:space="preserve">€</t>
  </si>
  <si>
    <t xml:space="preserve">Adquisición del terreno</t>
  </si>
  <si>
    <t xml:space="preserve">Inmovilizado Material:</t>
  </si>
  <si>
    <t xml:space="preserve">Edificios y Construcciones</t>
  </si>
  <si>
    <t xml:space="preserve">Inmovilizado Inmaterial:</t>
  </si>
  <si>
    <t xml:space="preserve">Instalaciones</t>
  </si>
  <si>
    <t xml:space="preserve">Activo no Corriente Total:</t>
  </si>
  <si>
    <t xml:space="preserve">Maquinaria</t>
  </si>
  <si>
    <t xml:space="preserve">Equipamiento</t>
  </si>
  <si>
    <t xml:space="preserve">Existencias Iniciales:</t>
  </si>
  <si>
    <t xml:space="preserve">Mobiliario</t>
  </si>
  <si>
    <t xml:space="preserve">Tesorería inicial para puesta en marcha:</t>
  </si>
  <si>
    <t xml:space="preserve">Utillaje</t>
  </si>
  <si>
    <t xml:space="preserve">IVA Soportad Empresas </t>
  </si>
  <si>
    <t xml:space="preserve">Vehículos de transporte</t>
  </si>
  <si>
    <t xml:space="preserve">ITPYAJD  Soportado particulares</t>
  </si>
  <si>
    <t xml:space="preserve">Equipos informáticos</t>
  </si>
  <si>
    <t xml:space="preserve">Activo Corriente Total:</t>
  </si>
  <si>
    <t xml:space="preserve">Equipos y medios técnicos F1 (escenario base)</t>
  </si>
  <si>
    <t xml:space="preserve">Fianza</t>
  </si>
  <si>
    <t xml:space="preserve">Necesidades Totales de Aportación en Especie</t>
  </si>
  <si>
    <t xml:space="preserve">Inmovilizado Inmaterial</t>
  </si>
  <si>
    <t xml:space="preserve">Adq. a Particulares     (sin  IVA)</t>
  </si>
  <si>
    <t xml:space="preserve">IVA          </t>
  </si>
  <si>
    <t xml:space="preserve">I+D y validación técnica F1 (escenario base)</t>
  </si>
  <si>
    <t xml:space="preserve">Patentes, Modelos de Utilidad</t>
  </si>
  <si>
    <t xml:space="preserve">Aplicaciones informáticas F1 (escenario base)</t>
  </si>
  <si>
    <t xml:space="preserve">Derechos de traspaso, Concesiones administrativas, Tasas, Licencias...</t>
  </si>
  <si>
    <t xml:space="preserve">Marca, nombre comercial y tasas (documentado/en trámite)</t>
  </si>
  <si>
    <t xml:space="preserve">Legal, administración y contingencia F1</t>
  </si>
  <si>
    <t xml:space="preserve">Fondo de Comercio</t>
  </si>
  <si>
    <t xml:space="preserve">Activo Corriente                                                                                                                          </t>
  </si>
  <si>
    <t xml:space="preserve">IVA         </t>
  </si>
  <si>
    <t xml:space="preserve">Existencias Iniciales (M.P., productos terminados, envases y embalajes)</t>
  </si>
  <si>
    <t xml:space="preserve"> Pago de Inversiones</t>
  </si>
  <si>
    <t xml:space="preserve">Importe Total</t>
  </si>
  <si>
    <t xml:space="preserve">%</t>
  </si>
  <si>
    <t xml:space="preserve">Mes 0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</si>
  <si>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</si>
  <si>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</si>
  <si>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</si>
  <si>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</si>
  <si>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</si>
  <si>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</si>
  <si>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</si>
  <si>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</si>
  <si>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</si>
  <si>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</si>
  <si>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</si>
  <si>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</si>
  <si>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Calculo correcto</t>
  </si>
  <si>
    <t xml:space="preserve">Otros (proyectos técnicos...)</t>
  </si>
  <si>
    <t xml:space="preserve">Gastos de I+D</t>
  </si>
  <si>
    <t xml:space="preserve">Aplicaciones informáticas</t>
  </si>
  <si>
    <t xml:space="preserve">Marca, Nombre Comercial</t>
  </si>
  <si>
    <t xml:space="preserve">Otros (...)</t>
  </si>
  <si>
    <t xml:space="preserve">Sólo tienes que completar el % que vas a imputar a cada mes, el resto se calcula de manera automática.</t>
  </si>
  <si>
    <t xml:space="preserve">ESCENARIO PROFORMA — NO ES FINANCIACIÓN CONCEDIDA NI COBRADA</t>
  </si>
  <si>
    <t xml:space="preserve">La financiación cobrada y la caja propia inicial son ambas 0,00 €. El Excel reproduce únicamente un escenario condicionado a formalización y desembolso.</t>
  </si>
  <si>
    <t xml:space="preserve">Necesidades de Financiación</t>
  </si>
  <si>
    <t xml:space="preserve">Recursos Propios</t>
  </si>
  <si>
    <t xml:space="preserve">Importe</t>
  </si>
  <si>
    <t xml:space="preserve">Aportaciones en especies</t>
  </si>
  <si>
    <t xml:space="preserve">Aportaciones Dinerarias</t>
  </si>
  <si>
    <t xml:space="preserve">Aportaciones de socios total:</t>
  </si>
  <si>
    <t xml:space="preserve">Otros (pago único desempleado, subvenciones cobradas, …)</t>
  </si>
  <si>
    <t xml:space="preserve">Recursos propios:</t>
  </si>
  <si>
    <t xml:space="preserve">Deudas Bancarias</t>
  </si>
  <si>
    <t xml:space="preserve">Recursos Ajenos a Largo Plazo</t>
  </si>
  <si>
    <t xml:space="preserve">Recursos Ajenos a L/P</t>
  </si>
  <si>
    <t xml:space="preserve">Años</t>
  </si>
  <si>
    <t xml:space="preserve">Tipo de interés nominal anual</t>
  </si>
  <si>
    <t xml:space="preserve">Proveedores Varios C/P</t>
  </si>
  <si>
    <t xml:space="preserve">Otras deudas a largo plazo</t>
  </si>
  <si>
    <t xml:space="preserve">Financiación externa central F1 — pendiente de formalización y desembolso</t>
  </si>
  <si>
    <t xml:space="preserve">Pasivo Total</t>
  </si>
  <si>
    <t xml:space="preserve">Microcrédito</t>
  </si>
  <si>
    <t xml:space="preserve">Recursos Ajenos a Corto Plazo</t>
  </si>
  <si>
    <t xml:space="preserve">Deudas a Corto Plazo</t>
  </si>
  <si>
    <t xml:space="preserve">Liquidez: caja propia inicial 0 €. La financiación externa central de 180.000 € requiere póliza/préstamo de emprendimiento o desembolso documentado. El flujo oficial solo la simula en escenario proforma condicionado.</t>
  </si>
  <si>
    <t xml:space="preserve">COSTES DE PRODUCIÓN</t>
  </si>
  <si>
    <t xml:space="preserve">Producto</t>
  </si>
  <si>
    <t xml:space="preserve">Precio/unid</t>
  </si>
  <si>
    <t xml:space="preserve">% IVA</t>
  </si>
  <si>
    <t xml:space="preserve">Sub/Total/unid</t>
  </si>
  <si>
    <t xml:space="preserve">Total unidades año</t>
  </si>
  <si>
    <t xml:space="preserve">Total € anual    (IVA incl)</t>
  </si>
  <si>
    <t xml:space="preserve">soportado</t>
  </si>
  <si>
    <t xml:space="preserve">SaaS agro-energético y cuaderno digital</t>
  </si>
  <si>
    <t xml:space="preserve">Implantación y parametrización</t>
  </si>
  <si>
    <t xml:space="preserve">Formación y acompañamiento</t>
  </si>
  <si>
    <t xml:space="preserve">Kit sensórico e integración de campo</t>
  </si>
  <si>
    <t xml:space="preserve">Consultoría y evidencias</t>
  </si>
  <si>
    <t xml:space="preserve">INGRESOS POR VENTA</t>
  </si>
  <si>
    <t xml:space="preserve">repercutido</t>
  </si>
  <si>
    <t xml:space="preserve">INGRESOS POR VENTAS ANUALES</t>
  </si>
  <si>
    <t xml:space="preserve">TOTAL</t>
  </si>
  <si>
    <t xml:space="preserve">Salir exacto</t>
  </si>
  <si>
    <t xml:space="preserve">Nº Productos/Servicios</t>
  </si>
  <si>
    <t xml:space="preserve">Precio de venta</t>
  </si>
  <si>
    <t xml:space="preserve">Ingresos ventas</t>
  </si>
  <si>
    <t xml:space="preserve">Costes producción</t>
  </si>
  <si>
    <t xml:space="preserve">Margen Bruto</t>
  </si>
  <si>
    <t xml:space="preserve">Sin IVA</t>
  </si>
  <si>
    <t xml:space="preserve">INGRESOS POR VENTAS (AÑO 1, SIN IVA)</t>
  </si>
  <si>
    <t xml:space="preserve">COSTES DIRECTOS (AÑO 1, SIN IVA)</t>
  </si>
  <si>
    <t xml:space="preserve">MARGEN BRUTO</t>
  </si>
  <si>
    <t xml:space="preserve">MARGEN BRUTO SOBRE VENTAS</t>
  </si>
  <si>
    <t xml:space="preserve">Costes directos incluyen consumibles sensóricos, licencias/cloud de terceros, mantenimiento de campo, pasarela y soporte operativo. En el escenario base representan el 27,1 % de las ventas y dejan margen bruto del 72,9 %.</t>
  </si>
  <si>
    <t xml:space="preserve">Liquidación de IVA</t>
  </si>
  <si>
    <t xml:space="preserve">1º TRIMESTRE</t>
  </si>
  <si>
    <t xml:space="preserve">MES 1</t>
  </si>
  <si>
    <t xml:space="preserve">MES 2</t>
  </si>
  <si>
    <t xml:space="preserve">MES 3</t>
  </si>
  <si>
    <t xml:space="preserve">Total IVA Soportado</t>
  </si>
  <si>
    <t xml:space="preserve">Repercutido</t>
  </si>
  <si>
    <t xml:space="preserve">Total IVA Repercutido</t>
  </si>
  <si>
    <t xml:space="preserve">Soportado</t>
  </si>
  <si>
    <t xml:space="preserve">Saldo Primer Trimestre</t>
  </si>
  <si>
    <t xml:space="preserve">Devengado</t>
  </si>
  <si>
    <t xml:space="preserve">Saldo Segundo Trimestre</t>
  </si>
  <si>
    <t xml:space="preserve">Saldo Tercer Trimestre</t>
  </si>
  <si>
    <t xml:space="preserve">2º TRIMESTRE</t>
  </si>
  <si>
    <t xml:space="preserve">Saldo Cuarto Trimestre</t>
  </si>
  <si>
    <t xml:space="preserve">MES 4</t>
  </si>
  <si>
    <t xml:space="preserve">MES 5</t>
  </si>
  <si>
    <t xml:space="preserve">MES 6</t>
  </si>
  <si>
    <t xml:space="preserve">HP deudor/acreedor por IVA</t>
  </si>
  <si>
    <t xml:space="preserve">3º TRIMESTRE</t>
  </si>
  <si>
    <t xml:space="preserve">MES 7</t>
  </si>
  <si>
    <t xml:space="preserve">MES 8</t>
  </si>
  <si>
    <t xml:space="preserve">MES 9</t>
  </si>
  <si>
    <t xml:space="preserve">4º TRIMESTRE</t>
  </si>
  <si>
    <t xml:space="preserve">MES 10</t>
  </si>
  <si>
    <t xml:space="preserve">MES 11</t>
  </si>
  <si>
    <t xml:space="preserve">MES 12</t>
  </si>
  <si>
    <t xml:space="preserve">Esta información se obtiene de manera automática, teniendo en cuenta datos que se han introducido en apartados anteriores.</t>
  </si>
  <si>
    <t xml:space="preserve">Gastos Fijos y Variables </t>
  </si>
  <si>
    <t xml:space="preserve">GASTOS FIJOS</t>
  </si>
  <si>
    <t xml:space="preserve">Imp Total S/IVA</t>
  </si>
  <si>
    <t xml:space="preserve">imp. Sin IVA</t>
  </si>
  <si>
    <t xml:space="preserve">imp. IVA</t>
  </si>
  <si>
    <t xml:space="preserve">Total</t>
  </si>
  <si>
    <t xml:space="preserve">Salir Exacto</t>
  </si>
  <si>
    <t xml:space="preserve">Agua</t>
  </si>
  <si>
    <t xml:space="preserve">Luz</t>
  </si>
  <si>
    <t xml:space="preserve">Gas</t>
  </si>
  <si>
    <t xml:space="preserve">Internet</t>
  </si>
  <si>
    <t xml:space="preserve">Telefonia</t>
  </si>
  <si>
    <t xml:space="preserve">Alquiler</t>
  </si>
  <si>
    <t xml:space="preserve">Seguros</t>
  </si>
  <si>
    <t xml:space="preserve">Gastos de gestoria</t>
  </si>
  <si>
    <t xml:space="preserve">Marketing</t>
  </si>
  <si>
    <t xml:space="preserve">Sueldo de autónomo — incluido en Gastos de Personal (no duplicar)</t>
  </si>
  <si>
    <t xml:space="preserve">RETA — incluido en Gastos de Personal (4.800 €/año; no duplicar)</t>
  </si>
  <si>
    <t xml:space="preserve">…</t>
  </si>
  <si>
    <t xml:space="preserve">TOTAL DE GASTOS FIJOS</t>
  </si>
  <si>
    <t xml:space="preserve">GASTOS VARIABLES</t>
  </si>
  <si>
    <t xml:space="preserve">Combustible</t>
  </si>
  <si>
    <t xml:space="preserve">Materias Primas</t>
  </si>
  <si>
    <t xml:space="preserve">Comisiones de prescripción / ventas (cooperativas y regantes)</t>
  </si>
  <si>
    <t xml:space="preserve">Movilidad y transporte de campo</t>
  </si>
  <si>
    <t xml:space="preserve">Embalajes</t>
  </si>
  <si>
    <t xml:space="preserve">TOTAL DE GASTOS VARIABLES</t>
  </si>
  <si>
    <t xml:space="preserve">TOTAL IMPORTE GASTOS FIJOS CON IVA</t>
  </si>
  <si>
    <t xml:space="preserve">TOTAL IMPORTE GASTOS VARIABLES CON IVA</t>
  </si>
  <si>
    <t xml:space="preserve">CAC/LTV: marketing fijo 4.000 €/año; comisiones de prescripción 1.600 €/año; movilidad 1.200 €/año. La comisión de prescripción se calcula como incentivo por piloto/cliente referido y se activa con contrato o factura.</t>
  </si>
  <si>
    <t xml:space="preserve"> Gastos de Personal</t>
  </si>
  <si>
    <t xml:space="preserve">PERSONAL 1 — Promotor / dirección técnica (30.000 € + RETA 4.800 €)</t>
  </si>
  <si>
    <t xml:space="preserve">TOTAL ANUAL</t>
  </si>
  <si>
    <t xml:space="preserve">Salario Bruto</t>
  </si>
  <si>
    <t xml:space="preserve">S.Soc. Empr (%)</t>
  </si>
  <si>
    <t xml:space="preserve">Coste Total</t>
  </si>
  <si>
    <t xml:space="preserve">PERSONAL 2 — Técnico/a de software (activación meses 6–10)</t>
  </si>
  <si>
    <t xml:space="preserve">PERSONAL 3 — Técnico/a de campo/comercial (activación meses 11–12)</t>
  </si>
  <si>
    <t xml:space="preserve">PERSONAL 4</t>
  </si>
  <si>
    <t xml:space="preserve">PERSONAL 5</t>
  </si>
  <si>
    <t xml:space="preserve">TOTAL GASTO DE PERSONAL</t>
  </si>
  <si>
    <t xml:space="preserve">Personal escalonado: promotor 30.000 € brutos + RETA presupuestado; software desde la activación; campo/comercial desde pilotos. No se contabilizan perfiles futuros hasta Gates.</t>
  </si>
  <si>
    <t xml:space="preserve">FUENTE ÚNICA DE PERSONAL — DEBE COINCIDIR CON LA MEMORIA</t>
  </si>
  <si>
    <t xml:space="preserve">Promotor / dirección técnica</t>
  </si>
  <si>
    <t xml:space="preserve">30.000,00 € bruto + 4.800,00 € RETA</t>
  </si>
  <si>
    <t xml:space="preserve">F1</t>
  </si>
  <si>
    <t xml:space="preserve">Planificado</t>
  </si>
  <si>
    <t xml:space="preserve">Técnico/a de software</t>
  </si>
  <si>
    <t xml:space="preserve">15.166,67 € reconocido en meses 6–10</t>
  </si>
  <si>
    <t xml:space="preserve">Técnico/a de campo/comercial</t>
  </si>
  <si>
    <t xml:space="preserve">2.600,00 € reconocido en meses 11–12</t>
  </si>
  <si>
    <t xml:space="preserve">Condicionado</t>
  </si>
  <si>
    <t xml:space="preserve">TOTAL PERSONAL RECONOCIDO AÑO 1</t>
  </si>
  <si>
    <t xml:space="preserve">52.566,67 €</t>
  </si>
  <si>
    <t xml:space="preserve">Año 1</t>
  </si>
  <si>
    <t xml:space="preserve">Fuente oficial</t>
  </si>
  <si>
    <t xml:space="preserve">La memoria no debe presentar una anualización teórica distinta: el Excel oficial reconoce 52.566,67 € en Año 1 según meses efectivos de contratación.</t>
  </si>
  <si>
    <t xml:space="preserve">DISTINCIÓN OBLIGATORIA: CAPACIDAD ANUALIZADA VS. COSTE RECONOCIDO</t>
  </si>
  <si>
    <t xml:space="preserve">Capacidad humana anualizada de referencia: 86.800,00 € (30.000 + 4.800 RETA + 28.000 + 8.400 SS + 12.000 + 3.600 SS). No es el gasto P&amp;L del Año 1.</t>
  </si>
  <si>
    <t xml:space="preserve">Coste reconocido P&amp;L Año 1: 52.566,67 €, según meses efectivos del calendario oficial. No existe contradicción: son magnitudes con distinto perímetro.</t>
  </si>
  <si>
    <t xml:space="preserve">Amortización Contable</t>
  </si>
  <si>
    <t xml:space="preserve">Tipología</t>
  </si>
  <si>
    <t xml:space="preserve">Precio de adquisión</t>
  </si>
  <si>
    <t xml:space="preserve">IVA</t>
  </si>
  <si>
    <t xml:space="preserve">Coeficiente lineal (*)</t>
  </si>
  <si>
    <t xml:space="preserve">Cuota anual</t>
  </si>
  <si>
    <t xml:space="preserve">Derechos de traspaso</t>
  </si>
  <si>
    <t xml:space="preserve">Fondo de comercio</t>
  </si>
  <si>
    <t xml:space="preserve">TOTAL AMORT. INMOV. INMATERIAL</t>
  </si>
  <si>
    <t xml:space="preserve">TOTAL AMORT. INMOV. MATERIAL</t>
  </si>
  <si>
    <t xml:space="preserve">La cuota anual de amortización se lleva a la Cuenta de Resultados y la amortización acumulada al Balance de situación.</t>
  </si>
  <si>
    <t xml:space="preserve">Coeficiente lineal (*), se puede cambiar el %.</t>
  </si>
  <si>
    <t xml:space="preserve">ESCENARIO PROFORMA CONDICIONADO: 180.000 € se muestra en flujo solo para simular la ejecución tras concesión y desembolso. La situación documental real mantiene financiación cobrada = 0 € y caja propia inicial = 0 €.</t>
  </si>
  <si>
    <t xml:space="preserve">Flujo de Caja</t>
  </si>
  <si>
    <t xml:space="preserve">Arranque</t>
  </si>
  <si>
    <t xml:space="preserve">Cobros de las ventas</t>
  </si>
  <si>
    <t xml:space="preserve"> Otros</t>
  </si>
  <si>
    <t xml:space="preserve">Financiación externa central F1 — escenario proforma condicionado a concesión y desembolso</t>
  </si>
  <si>
    <t xml:space="preserve">Total de Cobros</t>
  </si>
  <si>
    <t xml:space="preserve">Pago de Sueldos</t>
  </si>
  <si>
    <t xml:space="preserve">Pago compras y gastos generales</t>
  </si>
  <si>
    <t xml:space="preserve">Pago IVA a Hacienda	</t>
  </si>
  <si>
    <t xml:space="preserve">Devolución capital préstamos	</t>
  </si>
  <si>
    <t xml:space="preserve">Pago de Intereses	</t>
  </si>
  <si>
    <t xml:space="preserve">Pago de Inversiones</t>
  </si>
  <si>
    <t xml:space="preserve">Total de Pagos</t>
  </si>
  <si>
    <t xml:space="preserve">Flujo de Caja Neto</t>
  </si>
  <si>
    <t xml:space="preserve">Poliza de credito</t>
  </si>
  <si>
    <t xml:space="preserve">Saldo Final de Tesorería</t>
  </si>
  <si>
    <t xml:space="preserve">Totales</t>
  </si>
  <si>
    <t xml:space="preserve">Tesorería Inicio de Año</t>
  </si>
  <si>
    <t xml:space="preserve">Necesidades de Financiación a C/P</t>
  </si>
  <si>
    <t xml:space="preserve">Tesorería Final de Año</t>
  </si>
  <si>
    <t xml:space="preserve">Cuenta de Resultados Mensual</t>
  </si>
  <si>
    <t xml:space="preserve">Ingresos de Explotación</t>
  </si>
  <si>
    <t xml:space="preserve">Gastos de Explotación</t>
  </si>
  <si>
    <t xml:space="preserve">Gastos de personal	</t>
  </si>
  <si>
    <t xml:space="preserve">Gastos Fijos</t>
  </si>
  <si>
    <t xml:space="preserve">Gastos Variables</t>
  </si>
  <si>
    <t xml:space="preserve">Amortizaciones</t>
  </si>
  <si>
    <t xml:space="preserve">Total Gastos</t>
  </si>
  <si>
    <t xml:space="preserve">Beneficios antes de impuestos e intereses (resultado de explotación)</t>
  </si>
  <si>
    <t xml:space="preserve">Gastos financieros </t>
  </si>
  <si>
    <t xml:space="preserve">Comisiones bancarias</t>
  </si>
  <si>
    <t xml:space="preserve">Beneficios antes de impuestos</t>
  </si>
  <si>
    <t xml:space="preserve">Impuestos de ejecicio corrientes (Tasas municipales, IAE, IBI…)</t>
  </si>
  <si>
    <t xml:space="preserve">SEGUIMIENTO DE RESULTADO</t>
  </si>
  <si>
    <t xml:space="preserve">Balance</t>
  </si>
  <si>
    <t xml:space="preserve">ACTIVO</t>
  </si>
  <si>
    <t xml:space="preserve">PATRIMONIO NETO Y PASIVO</t>
  </si>
  <si>
    <t xml:space="preserve">Activo no corriente</t>
  </si>
  <si>
    <t xml:space="preserve">Patrimonio Neto</t>
  </si>
  <si>
    <t xml:space="preserve">Inmovilizado material</t>
  </si>
  <si>
    <t xml:space="preserve">Capital</t>
  </si>
  <si>
    <t xml:space="preserve">Resultado del Ejercicio</t>
  </si>
  <si>
    <t xml:space="preserve">Financiación externa proforma condicionada (no caja propia; requiere desembolso)</t>
  </si>
  <si>
    <t xml:space="preserve">Pasivo no corriente</t>
  </si>
  <si>
    <t xml:space="preserve">Préstamos bancarios a largo</t>
  </si>
  <si>
    <t xml:space="preserve">Microcréditos a largo</t>
  </si>
  <si>
    <t xml:space="preserve">Acreedores por arrendamiento financiero a Largo Plazo</t>
  </si>
  <si>
    <t xml:space="preserve">Pasivo Corriente</t>
  </si>
  <si>
    <t xml:space="preserve">Póliza de Crédito</t>
  </si>
  <si>
    <t xml:space="preserve">Proveedores varios</t>
  </si>
  <si>
    <t xml:space="preserve">Préstamo Bancario a corto plazo</t>
  </si>
  <si>
    <t xml:space="preserve">(-) Amortización acumulada del inmovilizado material</t>
  </si>
  <si>
    <t xml:space="preserve">Inmovilizado inmaterial</t>
  </si>
  <si>
    <t xml:space="preserve">Hacienda Pública (acreedor por IVA)</t>
  </si>
  <si>
    <t xml:space="preserve">Hacienda Pública (acreedor Impuesto de Sociedades)</t>
  </si>
  <si>
    <t xml:space="preserve">(-)Amortización acumulada del inmovilizado inmaterial</t>
  </si>
  <si>
    <t xml:space="preserve">Activo corriente</t>
  </si>
  <si>
    <t xml:space="preserve">Existencias, materias primas...</t>
  </si>
  <si>
    <t xml:space="preserve">Hacienda Pública (deudor por IVA)</t>
  </si>
  <si>
    <t xml:space="preserve">Clientes</t>
  </si>
  <si>
    <t xml:space="preserve">Tesorería</t>
  </si>
  <si>
    <t xml:space="preserve">NOTA: el balance proforma condicionado cierra matemáticamente; las partidas de financiación y documentación quedan sujetas a formalización, justificación y desembolso.</t>
  </si>
  <si>
    <t xml:space="preserve">TOTAL ACTIVO</t>
  </si>
  <si>
    <t xml:space="preserve">TOTAL PASIVO</t>
  </si>
  <si>
    <t xml:space="preserve">TOTAL PATRIMONIO NETO Y PASIVO</t>
  </si>
  <si>
    <t xml:space="preserve">CONTROL DE CIERRE</t>
  </si>
  <si>
    <t xml:space="preserve">PIE PLUS 2026 · PLAN FINANCIERO OFICIAL · V5.6 PULIDO · ESCENARIO PROFORMA CONDICIONADO</t>
  </si>
  <si>
    <t xml:space="preserve">ADVERTENCIA: 180.000 € es financiación pendiente de formalización y desembolso; no es financiación concedida ni cobrada. Caja propia inicial: 0,00 €.</t>
  </si>
  <si>
    <t xml:space="preserve">Tipo impositivo sobre beneficios (editable) →              (IRPF / Impuesto de sociedades) *</t>
  </si>
  <si>
    <t xml:space="preserve">% Crecimiento Anual (editable) →</t>
  </si>
  <si>
    <t xml:space="preserve">Año 2 </t>
  </si>
  <si>
    <t xml:space="preserve">Año 3</t>
  </si>
  <si>
    <t xml:space="preserve">Año 4</t>
  </si>
  <si>
    <t xml:space="preserve">Año 5 </t>
  </si>
  <si>
    <t xml:space="preserve">Consumos</t>
  </si>
  <si>
    <t xml:space="preserve">Margen Bruto sobre Ventas</t>
  </si>
  <si>
    <t xml:space="preserve">Gastos de personal</t>
  </si>
  <si>
    <t xml:space="preserve">Beneficios antes de impuestos e intereses</t>
  </si>
  <si>
    <t xml:space="preserve">Gastos financieros</t>
  </si>
  <si>
    <t xml:space="preserve">PUNTO DE EQUILIBRIO — OBJETIVO NO ALCANZADO EN AÑO 1</t>
  </si>
  <si>
    <t xml:space="preserve">Umbral operativo antes de intereses</t>
  </si>
  <si>
    <t xml:space="preserve">Umbral incluyendo intereses</t>
  </si>
  <si>
    <t xml:space="preserve">Ingresos previstos Año 1</t>
  </si>
  <si>
    <t xml:space="preserve">Estado</t>
  </si>
  <si>
    <t xml:space="preserve">No alcanzado; objetivo condicionado</t>
  </si>
  <si>
    <t xml:space="preserve">F3 Invernadero 1 ha + hidroponía</t>
  </si>
  <si>
    <t xml:space="preserve">Referencia CAPEX</t>
  </si>
  <si>
    <t xml:space="preserve">F4 Agrovoltaica 1,3 MWp</t>
  </si>
  <si>
    <t xml:space="preserve">PLANO C — CAPEX FÍSICO FUTURO CONDICIONADO (no activo en el escenario base)</t>
  </si>
  <si>
    <t xml:space="preserve">Estado de activación</t>
  </si>
  <si>
    <t xml:space="preserve">F2 Geotermia + TRT</t>
  </si>
  <si>
    <t xml:space="preserve">BESS + F5 Datos soberanos</t>
  </si>
  <si>
    <t xml:space="preserve">Nota: el CAPEX físico se activa solo tras Gates y, si se activa, deberá incorporar financiación, amortización, carga financiera, permisos y evidencia.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</si>
</sst>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&quot; €&quot;"/>
    <numFmt numFmtId="166" formatCode="0%"/>
    <numFmt numFmtId="167" formatCode="0.00%"/>
    <numFmt numFmtId="168" formatCode="General"/>
    <numFmt numFmtId="169" formatCode="#,##0"/>
    <numFmt numFmtId="170" formatCode="_-* #,##0.00&quot; €&quot;_-;\-* #,##0.00&quot; €&quot;_-;_-* \-??&quot; €&quot;_-;_-@"/>
    <numFmt numFmtId="171" formatCode="#,##0.00&quot; €&quot;;[RED]\-#,##0.00&quot; €&quot;"/>
  </numFmts>
  <fonts count="2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 Display"/>
      <family val="0"/>
      <charset val="1"/>
    </font>
    <font>
      <b val="true"/>
      <sz val="18"/>
      <name val="Poppins"/>
      <family val="0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rgb="FF1F2937"/>
      <name val="Aptos"/>
      <family val="0"/>
      <charset val="1"/>
    </font>
    <font>
      <b val="true"/>
      <sz val="9"/>
      <color rgb="FF1F2937"/>
      <name val="Aptos"/>
      <family val="0"/>
      <charset val="1"/>
    </font>
    <font>
      <b val="true"/>
      <sz val="11"/>
      <name val="Calibri"/>
      <family val="2"/>
      <charset val="1"/>
    </font>
    <font>
      <sz val="10"/>
      <name val="Arial"/>
      <family val="2"/>
    </font>
    <font>
      <i val="true"/>
      <sz val="9"/>
      <color rgb="FF1F2937"/>
      <name val="Aptos"/>
      <family val="0"/>
      <charset val="1"/>
    </font>
    <font>
      <i val="true"/>
      <sz val="9"/>
      <name val="Calibri"/>
      <family val="2"/>
      <charset val="1"/>
    </font>
    <font>
      <sz val="8"/>
      <name val="Poppins"/>
      <family val="0"/>
      <charset val="1"/>
    </font>
    <font>
      <b val="true"/>
      <sz val="12"/>
      <color rgb="FFFFFFFF"/>
      <name val="Aptos Display"/>
      <family val="0"/>
      <charset val="1"/>
    </font>
    <font>
      <b val="true"/>
      <sz val="9"/>
      <color rgb="FF9B1C1C"/>
      <name val="Aptos"/>
      <family val="0"/>
      <charset val="1"/>
    </font>
    <font>
      <sz val="12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9"/>
      <color rgb="FF9B1C1C"/>
      <name val="Aptos"/>
      <family val="0"/>
      <charset val="1"/>
    </font>
    <font>
      <b val="true"/>
      <sz val="18"/>
      <color rgb="FF344050"/>
      <name val="Poppins"/>
      <family val="0"/>
      <charset val="1"/>
    </font>
    <font>
      <sz val="11"/>
      <color rgb="FFFF0000"/>
      <name val="Calibri (Cuerpo)"/>
      <family val="0"/>
      <charset val="1"/>
    </font>
    <font>
      <sz val="14"/>
      <name val="Helvetica Neue"/>
      <family val="2"/>
      <charset val="1"/>
    </font>
    <font>
      <b val="true"/>
      <sz val="13"/>
      <name val="Helvetica Neue"/>
      <family val="2"/>
      <charset val="1"/>
    </font>
    <font>
      <i val="true"/>
      <sz val="9"/>
      <color rgb="FF5B6470"/>
      <name val="Aptos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74A2E"/>
        <bgColor rgb="FF344050"/>
      </patternFill>
    </fill>
    <fill>
      <patternFill patternType="solid">
        <fgColor rgb="FF89FFFF"/>
        <bgColor rgb="FF9CC2E5"/>
      </patternFill>
    </fill>
    <fill>
      <patternFill patternType="solid">
        <fgColor rgb="FFFEFBE6"/>
        <bgColor rgb="FFFFFFFF"/>
      </patternFill>
    </fill>
    <fill>
      <patternFill patternType="solid">
        <fgColor rgb="FFE5FFFF"/>
        <bgColor rgb="FFEAF3EC"/>
      </patternFill>
    </fill>
    <fill>
      <patternFill patternType="solid">
        <fgColor rgb="FF18FC59"/>
        <bgColor rgb="FF00FA00"/>
      </patternFill>
    </fill>
    <fill>
      <patternFill patternType="solid">
        <fgColor rgb="FFD8D8D8"/>
        <bgColor rgb="FFD9D9D9"/>
      </patternFill>
    </fill>
    <fill>
      <patternFill patternType="solid">
        <fgColor rgb="FF9B1C1C"/>
        <bgColor rgb="FF800000"/>
      </patternFill>
    </fill>
    <fill>
      <patternFill patternType="solid">
        <fgColor theme="0" tint="-0.15"/>
        <bgColor rgb="FFD8D8D8"/>
      </patternFill>
    </fill>
    <fill>
      <patternFill patternType="solid">
        <fgColor theme="0"/>
        <bgColor rgb="FFFEFBE6"/>
      </patternFill>
    </fill>
    <fill>
      <patternFill patternType="solid">
        <fgColor rgb="FFF7CAAC"/>
        <bgColor rgb="FFF5DCCF"/>
      </patternFill>
    </fill>
    <fill>
      <patternFill patternType="solid">
        <fgColor rgb="FF92D050"/>
        <bgColor rgb="FFB8C7BC"/>
      </patternFill>
    </fill>
    <fill>
      <patternFill patternType="solid">
        <fgColor rgb="FFF36679"/>
        <bgColor rgb="FFFF6600"/>
      </patternFill>
    </fill>
    <fill>
      <patternFill patternType="solid">
        <fgColor rgb="FFF5DCCF"/>
        <bgColor rgb="FFFBE5D6"/>
      </patternFill>
    </fill>
    <fill>
      <patternFill patternType="solid">
        <fgColor rgb="FFFF9EFC"/>
        <bgColor rgb="FFCFAFE7"/>
      </patternFill>
    </fill>
    <fill>
      <patternFill patternType="solid">
        <fgColor rgb="FF9CC2E5"/>
        <bgColor rgb="FFB8C7BC"/>
      </patternFill>
    </fill>
    <fill>
      <patternFill patternType="solid">
        <fgColor rgb="FFF4B083"/>
        <bgColor rgb="FFF7CAAC"/>
      </patternFill>
    </fill>
    <fill>
      <patternFill patternType="solid">
        <fgColor rgb="FFCFAFE7"/>
        <bgColor rgb="FFB8C7BC"/>
      </patternFill>
    </fill>
    <fill>
      <patternFill patternType="solid">
        <fgColor rgb="FFEAF3EC"/>
        <bgColor rgb="FFDEEBF7"/>
      </patternFill>
    </fill>
    <fill>
      <patternFill patternType="solid">
        <fgColor theme="4" tint="0.7999"/>
        <bgColor rgb="FFDEEBF7"/>
      </patternFill>
    </fill>
    <fill>
      <patternFill patternType="solid">
        <fgColor theme="8" tint="0.7999"/>
        <bgColor rgb="FFDAE3F3"/>
      </patternFill>
    </fill>
    <fill>
      <patternFill patternType="solid">
        <fgColor theme="5" tint="0.7999"/>
        <bgColor rgb="FFF5DCCF"/>
      </patternFill>
    </fill>
    <fill>
      <patternFill patternType="solid">
        <fgColor rgb="FFDDEBDD"/>
        <bgColor rgb="FFDEEBF7"/>
      </patternFill>
    </fill>
    <fill>
      <patternFill patternType="solid">
        <fgColor rgb="FF00FA00"/>
        <bgColor rgb="FF18FC59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8C7BC"/>
      </bottom>
      <diagonal/>
    </border>
    <border diagonalUp="false" diagonalDown="false">
      <left/>
      <right style="thin"/>
      <top/>
      <bottom style="thin">
        <color rgb="FFB8C7B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ck">
        <color theme="1"/>
      </bottom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/>
      <bottom style="thin">
        <color rgb="FFB8C7BC"/>
      </bottom>
      <diagonal/>
    </border>
    <border diagonalUp="false" diagonalDown="false">
      <left/>
      <right style="thick"/>
      <top/>
      <bottom style="thin">
        <color rgb="FFB8C7BC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ck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5" fontId="8" fillId="4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6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9" fillId="5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5" fontId="9" fillId="5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9" fillId="6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5" fontId="9" fillId="6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9" fillId="7" borderId="2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9" fillId="7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10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10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5" fillId="8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8" fillId="4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7" fontId="8" fillId="4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4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11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8" fillId="12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8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8" fillId="1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1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8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8" fontId="8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5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8" fontId="9" fillId="15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9" fillId="3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9" fillId="18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18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9" fillId="6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6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16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7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9" fillId="17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2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9" fillId="12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13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8" fontId="9" fillId="13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3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9" fillId="18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18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9" fillId="6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9" fillId="0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8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9" fillId="2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6" fillId="0" borderId="1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21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2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2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2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7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19" fillId="0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6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4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7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7" fillId="4" borderId="1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7" fillId="4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7" fillId="0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9" fillId="7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5" fontId="9" fillId="7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7" fillId="10" borderId="1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7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7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19" fillId="4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9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9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4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4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4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6" fillId="4" borderId="2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8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70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0" fontId="8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9" fillId="7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5" fontId="9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70" fontId="9" fillId="1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70" fontId="8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5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9" fillId="7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4" borderId="1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8" fillId="1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A00"/>
      <rgbColor rgb="FF0000FF"/>
      <rgbColor rgb="FFEAF3EC"/>
      <rgbColor rgb="FFFF00FF"/>
      <rgbColor rgb="FF89FFFF"/>
      <rgbColor rgb="FF800000"/>
      <rgbColor rgb="FF008000"/>
      <rgbColor rgb="FF000080"/>
      <rgbColor rgb="FF808000"/>
      <rgbColor rgb="FF800080"/>
      <rgbColor rgb="FF008080"/>
      <rgbColor rgb="FFB8C7BC"/>
      <rgbColor rgb="FF808080"/>
      <rgbColor rgb="FFD9D9D9"/>
      <rgbColor rgb="FF993366"/>
      <rgbColor rgb="FFFEFBE6"/>
      <rgbColor rgb="FFE5FFFF"/>
      <rgbColor rgb="FF660066"/>
      <rgbColor rgb="FFF36679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DDEBDD"/>
      <rgbColor rgb="FFFBE5D6"/>
      <rgbColor rgb="FF9CC2E5"/>
      <rgbColor rgb="FFFF9EFC"/>
      <rgbColor rgb="FFCFAFE7"/>
      <rgbColor rgb="FFF7CAAC"/>
      <rgbColor rgb="FF3366FF"/>
      <rgbColor rgb="FF18FC59"/>
      <rgbColor rgb="FF92D050"/>
      <rgbColor rgb="FFF5DCCF"/>
      <rgbColor rgb="FFF4B083"/>
      <rgbColor rgb="FFFF6600"/>
      <rgbColor rgb="FF5B6470"/>
      <rgbColor rgb="FFDAE3F3"/>
      <rgbColor rgb="FF003366"/>
      <rgbColor rgb="FF339966"/>
      <rgbColor rgb="FF174A2E"/>
      <rgbColor rgb="FF333300"/>
      <rgbColor rgb="FF9B1C1C"/>
      <rgbColor rgb="FF993366"/>
      <rgbColor rgb="FF34405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774720</xdr:colOff>
      <xdr:row>1</xdr:row>
      <xdr:rowOff>38160</xdr:rowOff>
    </xdr:from>
    <xdr:to>
      <xdr:col>10</xdr:col>
      <xdr:colOff>867960</xdr:colOff>
      <xdr:row>1</xdr:row>
      <xdr:rowOff>582840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2429360" y="228600"/>
          <a:ext cx="306720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406440</xdr:colOff>
      <xdr:row>2</xdr:row>
      <xdr:rowOff>38160</xdr:rowOff>
    </xdr:from>
    <xdr:to>
      <xdr:col>29</xdr:col>
      <xdr:colOff>609120</xdr:colOff>
      <xdr:row>2</xdr:row>
      <xdr:rowOff>582840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19462320" y="419040"/>
          <a:ext cx="308304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241200</xdr:colOff>
      <xdr:row>2</xdr:row>
      <xdr:rowOff>38160</xdr:rowOff>
    </xdr:from>
    <xdr:to>
      <xdr:col>9</xdr:col>
      <xdr:colOff>339840</xdr:colOff>
      <xdr:row>2</xdr:row>
      <xdr:rowOff>582840</xdr:rowOff>
    </xdr:to>
    <xdr:pic>
      <xdr:nvPicPr>
        <xdr:cNvPr id="2" name="Imagen 1" descr=""/>
        <xdr:cNvPicPr/>
      </xdr:nvPicPr>
      <xdr:blipFill>
        <a:blip r:embed="rId1"/>
        <a:stretch/>
      </xdr:blipFill>
      <xdr:spPr>
        <a:xfrm>
          <a:off x="9455760" y="771480"/>
          <a:ext cx="307224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368280</xdr:colOff>
      <xdr:row>2</xdr:row>
      <xdr:rowOff>38160</xdr:rowOff>
    </xdr:from>
    <xdr:to>
      <xdr:col>17</xdr:col>
      <xdr:colOff>644760</xdr:colOff>
      <xdr:row>2</xdr:row>
      <xdr:rowOff>396360</xdr:rowOff>
    </xdr:to>
    <xdr:pic>
      <xdr:nvPicPr>
        <xdr:cNvPr id="3" name="Imagen 2" descr=""/>
        <xdr:cNvPicPr/>
      </xdr:nvPicPr>
      <xdr:blipFill>
        <a:blip r:embed="rId1"/>
        <a:stretch/>
      </xdr:blipFill>
      <xdr:spPr>
        <a:xfrm>
          <a:off x="13529880" y="666720"/>
          <a:ext cx="3116880" cy="35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101520</xdr:colOff>
      <xdr:row>2</xdr:row>
      <xdr:rowOff>76320</xdr:rowOff>
    </xdr:from>
    <xdr:to>
      <xdr:col>8</xdr:col>
      <xdr:colOff>731160</xdr:colOff>
      <xdr:row>2</xdr:row>
      <xdr:rowOff>621000</xdr:rowOff>
    </xdr:to>
    <xdr:pic>
      <xdr:nvPicPr>
        <xdr:cNvPr id="4" name="Imagen 3" descr=""/>
        <xdr:cNvPicPr/>
      </xdr:nvPicPr>
      <xdr:blipFill>
        <a:blip r:embed="rId1"/>
        <a:stretch/>
      </xdr:blipFill>
      <xdr:spPr>
        <a:xfrm>
          <a:off x="6515640" y="457200"/>
          <a:ext cx="298980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47</xdr:col>
      <xdr:colOff>0</xdr:colOff>
      <xdr:row>2</xdr:row>
      <xdr:rowOff>0</xdr:rowOff>
    </xdr:from>
    <xdr:to>
      <xdr:col>51</xdr:col>
      <xdr:colOff>2160</xdr:colOff>
      <xdr:row>2</xdr:row>
      <xdr:rowOff>544680</xdr:rowOff>
    </xdr:to>
    <xdr:pic>
      <xdr:nvPicPr>
        <xdr:cNvPr id="5" name="Imagen 1" descr=""/>
        <xdr:cNvPicPr/>
      </xdr:nvPicPr>
      <xdr:blipFill>
        <a:blip r:embed="rId1"/>
        <a:stretch/>
      </xdr:blipFill>
      <xdr:spPr>
        <a:xfrm>
          <a:off x="37738800" y="380880"/>
          <a:ext cx="309564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368280</xdr:colOff>
      <xdr:row>2</xdr:row>
      <xdr:rowOff>63360</xdr:rowOff>
    </xdr:from>
    <xdr:to>
      <xdr:col>14</xdr:col>
      <xdr:colOff>830160</xdr:colOff>
      <xdr:row>2</xdr:row>
      <xdr:rowOff>608040</xdr:rowOff>
    </xdr:to>
    <xdr:pic>
      <xdr:nvPicPr>
        <xdr:cNvPr id="6" name="Imagen 1" descr=""/>
        <xdr:cNvPicPr/>
      </xdr:nvPicPr>
      <xdr:blipFill>
        <a:blip r:embed="rId1"/>
        <a:stretch/>
      </xdr:blipFill>
      <xdr:spPr>
        <a:xfrm>
          <a:off x="10208880" y="444240"/>
          <a:ext cx="302220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1079640</xdr:colOff>
      <xdr:row>1</xdr:row>
      <xdr:rowOff>12600</xdr:rowOff>
    </xdr:from>
    <xdr:to>
      <xdr:col>5</xdr:col>
      <xdr:colOff>535680</xdr:colOff>
      <xdr:row>1</xdr:row>
      <xdr:rowOff>557280</xdr:rowOff>
    </xdr:to>
    <xdr:pic>
      <xdr:nvPicPr>
        <xdr:cNvPr id="7" name="Imagen 1" descr=""/>
        <xdr:cNvPicPr/>
      </xdr:nvPicPr>
      <xdr:blipFill>
        <a:blip r:embed="rId1"/>
        <a:stretch/>
      </xdr:blipFill>
      <xdr:spPr>
        <a:xfrm>
          <a:off x="5506920" y="203040"/>
          <a:ext cx="306972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355680</xdr:colOff>
      <xdr:row>2</xdr:row>
      <xdr:rowOff>38160</xdr:rowOff>
    </xdr:from>
    <xdr:to>
      <xdr:col>15</xdr:col>
      <xdr:colOff>573840</xdr:colOff>
      <xdr:row>2</xdr:row>
      <xdr:rowOff>582840</xdr:rowOff>
    </xdr:to>
    <xdr:pic>
      <xdr:nvPicPr>
        <xdr:cNvPr id="8" name="Imagen 1" descr=""/>
        <xdr:cNvPicPr/>
      </xdr:nvPicPr>
      <xdr:blipFill>
        <a:blip r:embed="rId1"/>
        <a:stretch/>
      </xdr:blipFill>
      <xdr:spPr>
        <a:xfrm>
          <a:off x="10956960" y="419040"/>
          <a:ext cx="305856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304920</xdr:colOff>
      <xdr:row>2</xdr:row>
      <xdr:rowOff>50760</xdr:rowOff>
    </xdr:from>
    <xdr:to>
      <xdr:col>14</xdr:col>
      <xdr:colOff>568800</xdr:colOff>
      <xdr:row>2</xdr:row>
      <xdr:rowOff>595440</xdr:rowOff>
    </xdr:to>
    <xdr:pic>
      <xdr:nvPicPr>
        <xdr:cNvPr id="9" name="Imagen 2" descr=""/>
        <xdr:cNvPicPr/>
      </xdr:nvPicPr>
      <xdr:blipFill>
        <a:blip r:embed="rId1"/>
        <a:stretch/>
      </xdr:blipFill>
      <xdr:spPr>
        <a:xfrm>
          <a:off x="14306760" y="431640"/>
          <a:ext cx="310428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2730600</xdr:colOff>
      <xdr:row>1</xdr:row>
      <xdr:rowOff>50760</xdr:rowOff>
    </xdr:from>
    <xdr:to>
      <xdr:col>5</xdr:col>
      <xdr:colOff>926640</xdr:colOff>
      <xdr:row>1</xdr:row>
      <xdr:rowOff>595440</xdr:rowOff>
    </xdr:to>
    <xdr:pic>
      <xdr:nvPicPr>
        <xdr:cNvPr id="10" name="Imagen 6" descr=""/>
        <xdr:cNvPicPr/>
      </xdr:nvPicPr>
      <xdr:blipFill>
        <a:blip r:embed="rId1"/>
        <a:stretch/>
      </xdr:blipFill>
      <xdr:spPr>
        <a:xfrm>
          <a:off x="10198080" y="241200"/>
          <a:ext cx="309024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685800</xdr:colOff>
      <xdr:row>1</xdr:row>
      <xdr:rowOff>38160</xdr:rowOff>
    </xdr:from>
    <xdr:to>
      <xdr:col>6</xdr:col>
      <xdr:colOff>776880</xdr:colOff>
      <xdr:row>2</xdr:row>
      <xdr:rowOff>230400</xdr:rowOff>
    </xdr:to>
    <xdr:pic>
      <xdr:nvPicPr>
        <xdr:cNvPr id="11" name="Imagen 1" descr=""/>
        <xdr:cNvPicPr/>
      </xdr:nvPicPr>
      <xdr:blipFill>
        <a:blip r:embed="rId1"/>
        <a:stretch/>
      </xdr:blipFill>
      <xdr:spPr>
        <a:xfrm>
          <a:off x="8046720" y="419040"/>
          <a:ext cx="3104640" cy="544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extremaduraempresarial.es/2026/08/19/castuo-system-avanza-hacia-una-agricultura-extremena-mas-eficiente-y-sostenible/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4.50390625" defaultRowHeight="15" zeroHeight="false" outlineLevelRow="0" outlineLevelCol="0"/>
  <cols>
    <col collapsed="false" customWidth="true" hidden="false" outlineLevel="0" max="1" min="1" style="1" width="10.67"/>
    <col collapsed="false" customWidth="true" hidden="false" outlineLevel="0" max="2" min="2" style="1" width="59.33"/>
    <col collapsed="false" customWidth="true" hidden="false" outlineLevel="0" max="3" min="3" style="1" width="14.67"/>
    <col collapsed="false" customWidth="true" hidden="false" outlineLevel="0" max="4" min="4" style="1" width="14.17"/>
    <col collapsed="false" customWidth="true" hidden="false" outlineLevel="0" max="5" min="5" style="1" width="10.83"/>
    <col collapsed="false" customWidth="true" hidden="false" outlineLevel="0" max="6" min="6" style="1" width="4.17"/>
    <col collapsed="false" customWidth="true" hidden="false" outlineLevel="0" max="7" min="7" style="1" width="8.83"/>
    <col collapsed="false" customWidth="true" hidden="false" outlineLevel="0" max="8" min="8" style="1" width="12.33"/>
    <col collapsed="false" customWidth="true" hidden="false" outlineLevel="0" max="9" min="9" style="1" width="10.67"/>
    <col collapsed="false" customWidth="true" hidden="false" outlineLevel="0" max="10" min="10" style="1" width="37.17"/>
    <col collapsed="false" customWidth="true" hidden="false" outlineLevel="0" max="11" min="11" style="1" width="15.17"/>
    <col collapsed="false" customWidth="true" hidden="false" outlineLevel="0" max="26" min="12" style="1" width="10.67"/>
    <col collapsed="false" customWidth="false" hidden="false" outlineLevel="0" max="16384" min="27" style="1" width="14.5"/>
  </cols>
  <sheetData>
    <row r="1" customFormat="false" ht="15" hidden="false" customHeight="true" outlineLevel="0" collapsed="false">
      <c r="A1" s="2" t="s">
        <v>0</v>
      </c>
    </row>
    <row r="2" customFormat="false" ht="49.5" hidden="false" customHeight="true" outlineLevel="0" collapsed="false">
      <c r="B2" s="2" t="s">
        <v>1</v>
      </c>
      <c r="C2" s="3"/>
      <c r="D2" s="3"/>
      <c r="E2" s="3"/>
      <c r="F2" s="3"/>
      <c r="G2" s="3"/>
      <c r="H2" s="3"/>
      <c r="I2" s="4"/>
      <c r="J2" s="4"/>
      <c r="K2" s="4"/>
    </row>
    <row r="3" customFormat="false" ht="15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26.25" hidden="false" customHeight="true" outlineLevel="0" collapsed="false">
      <c r="B4" s="5" t="s">
        <v>2</v>
      </c>
      <c r="C4" s="5"/>
      <c r="D4" s="5"/>
      <c r="E4" s="5"/>
      <c r="F4" s="5"/>
      <c r="G4" s="5"/>
      <c r="H4" s="5"/>
      <c r="I4" s="4"/>
      <c r="J4" s="4"/>
      <c r="K4" s="4"/>
    </row>
    <row r="5" customFormat="false" ht="48" hidden="false" customHeight="true" outlineLevel="0" collapsed="false">
      <c r="A5" s="6"/>
      <c r="B5" s="7" t="s">
        <v>3</v>
      </c>
      <c r="C5" s="7" t="s">
        <v>4</v>
      </c>
      <c r="D5" s="7" t="s">
        <v>5</v>
      </c>
      <c r="E5" s="7" t="s">
        <v>6</v>
      </c>
      <c r="F5" s="5" t="s">
        <v>7</v>
      </c>
      <c r="G5" s="5"/>
      <c r="H5" s="7" t="s">
        <v>8</v>
      </c>
      <c r="I5" s="8"/>
      <c r="J5" s="7" t="s">
        <v>9</v>
      </c>
      <c r="K5" s="9" t="s">
        <v>10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true" outlineLevel="0" collapsed="false">
      <c r="B6" s="10" t="s">
        <v>11</v>
      </c>
      <c r="C6" s="11" t="n">
        <v>0</v>
      </c>
      <c r="D6" s="12" t="n">
        <f aca="false">C6*0.21</f>
        <v>0</v>
      </c>
      <c r="E6" s="11" t="n">
        <v>0</v>
      </c>
      <c r="F6" s="13" t="n">
        <v>0.08</v>
      </c>
      <c r="G6" s="12" t="n">
        <f aca="false">E6*F6</f>
        <v>0</v>
      </c>
      <c r="H6" s="11" t="n">
        <v>0</v>
      </c>
      <c r="I6" s="4"/>
      <c r="J6" s="14" t="s">
        <v>12</v>
      </c>
      <c r="K6" s="15" t="n">
        <f aca="false">SUM(C6+C7+C8+C9+C10+C11+C12+C13+C14+C15+C16+E6+E7+E8+E9+E10+E11+E12+E13+E14+E15+E16+H6+H7+H8+H9+H10+H11+H12+H13+H14+H15+H16)</f>
        <v>10000</v>
      </c>
    </row>
    <row r="7" customFormat="false" ht="15" hidden="false" customHeight="true" outlineLevel="0" collapsed="false">
      <c r="B7" s="10" t="s">
        <v>13</v>
      </c>
      <c r="C7" s="11" t="n">
        <v>0</v>
      </c>
      <c r="D7" s="12" t="n">
        <f aca="false">C7*0.21</f>
        <v>0</v>
      </c>
      <c r="E7" s="11" t="n">
        <v>0</v>
      </c>
      <c r="F7" s="13" t="n">
        <v>0.08</v>
      </c>
      <c r="G7" s="12" t="n">
        <f aca="false">E7*F7</f>
        <v>0</v>
      </c>
      <c r="H7" s="11" t="n">
        <v>0</v>
      </c>
      <c r="I7" s="4"/>
      <c r="J7" s="14" t="s">
        <v>14</v>
      </c>
      <c r="K7" s="15" t="n">
        <f aca="false">C19+C20+C21+C22+C23+C24+C25+E19+E20+E21+E22+E23+E24+E25+H19+H20+H21+H22+H23+H24+H25</f>
        <v>82460.72</v>
      </c>
    </row>
    <row r="8" customFormat="false" ht="15" hidden="false" customHeight="true" outlineLevel="0" collapsed="false">
      <c r="B8" s="10" t="s">
        <v>15</v>
      </c>
      <c r="C8" s="11" t="n">
        <v>0</v>
      </c>
      <c r="D8" s="12" t="n">
        <f aca="false">C8*0.21</f>
        <v>0</v>
      </c>
      <c r="E8" s="11" t="n">
        <v>0</v>
      </c>
      <c r="F8" s="13" t="n">
        <v>0.06</v>
      </c>
      <c r="G8" s="12" t="n">
        <f aca="false">E8*F8</f>
        <v>0</v>
      </c>
      <c r="H8" s="11" t="n">
        <v>0</v>
      </c>
      <c r="I8" s="4"/>
      <c r="J8" s="14" t="s">
        <v>16</v>
      </c>
      <c r="K8" s="15" t="n">
        <f aca="false">K6+K7</f>
        <v>92460.72</v>
      </c>
    </row>
    <row r="9" customFormat="false" ht="15" hidden="false" customHeight="true" outlineLevel="0" collapsed="false">
      <c r="B9" s="10" t="s">
        <v>17</v>
      </c>
      <c r="C9" s="11" t="n">
        <v>0</v>
      </c>
      <c r="D9" s="12" t="n">
        <f aca="false">C9*0.21</f>
        <v>0</v>
      </c>
      <c r="E9" s="11" t="n">
        <v>0</v>
      </c>
      <c r="F9" s="13" t="n">
        <v>0.06</v>
      </c>
      <c r="G9" s="12" t="n">
        <f aca="false">E9*F9</f>
        <v>0</v>
      </c>
      <c r="H9" s="11" t="n">
        <v>0</v>
      </c>
      <c r="I9" s="4"/>
      <c r="J9" s="16"/>
      <c r="K9" s="16"/>
    </row>
    <row r="10" customFormat="false" ht="15" hidden="false" customHeight="true" outlineLevel="0" collapsed="false">
      <c r="B10" s="10" t="s">
        <v>18</v>
      </c>
      <c r="C10" s="11" t="n">
        <v>0</v>
      </c>
      <c r="D10" s="12" t="n">
        <f aca="false">C10*0.21</f>
        <v>0</v>
      </c>
      <c r="E10" s="11" t="n">
        <v>0</v>
      </c>
      <c r="F10" s="13" t="n">
        <v>0.06</v>
      </c>
      <c r="G10" s="12" t="n">
        <f aca="false">E10*F10</f>
        <v>0</v>
      </c>
      <c r="H10" s="11" t="n">
        <v>0</v>
      </c>
      <c r="I10" s="4"/>
      <c r="J10" s="14" t="s">
        <v>19</v>
      </c>
      <c r="K10" s="15" t="n">
        <f aca="false">C28+E28+H28</f>
        <v>0</v>
      </c>
    </row>
    <row r="11" customFormat="false" ht="15" hidden="false" customHeight="true" outlineLevel="0" collapsed="false">
      <c r="B11" s="10" t="s">
        <v>20</v>
      </c>
      <c r="C11" s="11" t="n">
        <v>0</v>
      </c>
      <c r="D11" s="12" t="n">
        <f aca="false">C11*0.21</f>
        <v>0</v>
      </c>
      <c r="E11" s="11" t="n">
        <v>0</v>
      </c>
      <c r="F11" s="13" t="n">
        <v>0.06</v>
      </c>
      <c r="G11" s="12" t="n">
        <f aca="false">E11*F11</f>
        <v>0</v>
      </c>
      <c r="H11" s="11" t="n">
        <v>0</v>
      </c>
      <c r="I11" s="4"/>
      <c r="J11" s="14" t="s">
        <v>21</v>
      </c>
      <c r="K11" s="15" t="n">
        <f aca="false">-('Necesidades de finaciación'!J19)</f>
        <v>68166.78</v>
      </c>
    </row>
    <row r="12" customFormat="false" ht="15" hidden="false" customHeight="true" outlineLevel="0" collapsed="false">
      <c r="B12" s="10" t="s">
        <v>22</v>
      </c>
      <c r="C12" s="11" t="n">
        <v>0</v>
      </c>
      <c r="D12" s="12" t="n">
        <f aca="false">C12*0.21</f>
        <v>0</v>
      </c>
      <c r="E12" s="11" t="n">
        <v>0</v>
      </c>
      <c r="F12" s="13" t="n">
        <v>0.06</v>
      </c>
      <c r="G12" s="12" t="n">
        <f aca="false">E12*F12</f>
        <v>0</v>
      </c>
      <c r="H12" s="11" t="n">
        <v>0</v>
      </c>
      <c r="I12" s="4"/>
      <c r="J12" s="14" t="s">
        <v>23</v>
      </c>
      <c r="K12" s="15" t="n">
        <f aca="false">(D6+D7+D8+D9+D10+D11+D12+D13+D14+D15+D16+D19+D20+D21+D22+D23+D24+D25+D28)</f>
        <v>19372.5</v>
      </c>
    </row>
    <row r="13" customFormat="false" ht="15" hidden="false" customHeight="true" outlineLevel="0" collapsed="false">
      <c r="B13" s="10" t="s">
        <v>24</v>
      </c>
      <c r="C13" s="11" t="n">
        <v>0</v>
      </c>
      <c r="D13" s="12" t="n">
        <f aca="false">C13*0.21</f>
        <v>0</v>
      </c>
      <c r="E13" s="11" t="n">
        <v>0</v>
      </c>
      <c r="F13" s="13" t="n">
        <v>0.06</v>
      </c>
      <c r="G13" s="12" t="n">
        <f aca="false">E13*F13</f>
        <v>0</v>
      </c>
      <c r="H13" s="11" t="n">
        <v>0</v>
      </c>
      <c r="I13" s="4"/>
      <c r="J13" s="14" t="s">
        <v>25</v>
      </c>
      <c r="K13" s="15" t="n">
        <f aca="false">G6+G7+G8+G9+G10+G11+G12+G13+G14+G15+G16+G19+G20+G21+G22+G23+G24+G25+G28</f>
        <v>0</v>
      </c>
    </row>
    <row r="14" customFormat="false" ht="15" hidden="false" customHeight="true" outlineLevel="0" collapsed="false">
      <c r="B14" s="10" t="s">
        <v>26</v>
      </c>
      <c r="C14" s="11" t="n">
        <v>0</v>
      </c>
      <c r="D14" s="12" t="n">
        <f aca="false">C14*0.21</f>
        <v>0</v>
      </c>
      <c r="E14" s="11" t="n">
        <v>0</v>
      </c>
      <c r="F14" s="13" t="n">
        <v>0.06</v>
      </c>
      <c r="G14" s="12" t="n">
        <f aca="false">E14*F14</f>
        <v>0</v>
      </c>
      <c r="H14" s="11" t="n">
        <v>0</v>
      </c>
      <c r="I14" s="4"/>
      <c r="J14" s="14" t="s">
        <v>27</v>
      </c>
      <c r="K14" s="15" t="n">
        <f aca="false">K12+K13+K10+K11</f>
        <v>87539.28</v>
      </c>
    </row>
    <row r="15" customFormat="false" ht="15" hidden="false" customHeight="true" outlineLevel="0" collapsed="false">
      <c r="B15" s="10" t="s">
        <v>28</v>
      </c>
      <c r="C15" s="11" t="n">
        <v>10000</v>
      </c>
      <c r="D15" s="12" t="n">
        <f aca="false">C15*0.21</f>
        <v>2100</v>
      </c>
      <c r="E15" s="11" t="n">
        <v>0</v>
      </c>
      <c r="F15" s="13" t="n">
        <v>0.06</v>
      </c>
      <c r="G15" s="12" t="n">
        <f aca="false">E15*F15</f>
        <v>0</v>
      </c>
      <c r="H15" s="11" t="n">
        <v>0</v>
      </c>
      <c r="I15" s="4"/>
      <c r="J15" s="17"/>
      <c r="K15" s="16"/>
    </row>
    <row r="16" customFormat="false" ht="15" hidden="false" customHeight="true" outlineLevel="0" collapsed="false">
      <c r="B16" s="10" t="s">
        <v>29</v>
      </c>
      <c r="C16" s="11" t="n">
        <v>0</v>
      </c>
      <c r="D16" s="18"/>
      <c r="E16" s="11" t="n">
        <v>0</v>
      </c>
      <c r="F16" s="13" t="n">
        <v>0</v>
      </c>
      <c r="G16" s="19"/>
      <c r="H16" s="11" t="n">
        <v>0</v>
      </c>
      <c r="I16" s="4"/>
      <c r="J16" s="20" t="s">
        <v>30</v>
      </c>
      <c r="K16" s="21" t="n">
        <f aca="false">K8+K14</f>
        <v>180000</v>
      </c>
    </row>
    <row r="17" customFormat="false" ht="26.25" hidden="false" customHeight="true" outlineLevel="0" collapsed="false">
      <c r="B17" s="22" t="s">
        <v>31</v>
      </c>
      <c r="C17" s="22"/>
      <c r="D17" s="22"/>
      <c r="E17" s="22"/>
      <c r="F17" s="22"/>
      <c r="G17" s="22"/>
      <c r="H17" s="22"/>
      <c r="I17" s="4"/>
      <c r="J17" s="4"/>
      <c r="K17" s="4"/>
    </row>
    <row r="18" customFormat="false" ht="48" hidden="false" customHeight="true" outlineLevel="0" collapsed="false">
      <c r="B18" s="23" t="s">
        <v>3</v>
      </c>
      <c r="C18" s="23" t="s">
        <v>4</v>
      </c>
      <c r="D18" s="23" t="s">
        <v>5</v>
      </c>
      <c r="E18" s="23" t="s">
        <v>32</v>
      </c>
      <c r="F18" s="22" t="s">
        <v>33</v>
      </c>
      <c r="G18" s="22"/>
      <c r="H18" s="23" t="s">
        <v>8</v>
      </c>
      <c r="I18" s="4"/>
      <c r="J18" s="4"/>
      <c r="K18" s="4"/>
    </row>
    <row r="19" customFormat="false" ht="15" hidden="false" customHeight="true" outlineLevel="0" collapsed="false">
      <c r="B19" s="10" t="s">
        <v>34</v>
      </c>
      <c r="C19" s="11" t="n">
        <v>30000</v>
      </c>
      <c r="D19" s="12" t="n">
        <f aca="false">C19*0.21</f>
        <v>6300</v>
      </c>
      <c r="E19" s="11" t="n">
        <v>0</v>
      </c>
      <c r="F19" s="13" t="n">
        <v>0.06</v>
      </c>
      <c r="G19" s="12" t="n">
        <f aca="false">E19*F19</f>
        <v>0</v>
      </c>
      <c r="H19" s="11" t="n">
        <v>0</v>
      </c>
      <c r="I19" s="4"/>
      <c r="J19" s="4"/>
      <c r="K19" s="4"/>
    </row>
    <row r="20" customFormat="false" ht="15" hidden="false" customHeight="true" outlineLevel="0" collapsed="false">
      <c r="B20" s="10" t="s">
        <v>35</v>
      </c>
      <c r="C20" s="11" t="n">
        <v>0</v>
      </c>
      <c r="D20" s="12" t="n">
        <f aca="false">C20*0.21</f>
        <v>0</v>
      </c>
      <c r="E20" s="11" t="n">
        <v>0</v>
      </c>
      <c r="F20" s="13" t="n">
        <v>0.06</v>
      </c>
      <c r="G20" s="12" t="n">
        <f aca="false">E20*F20</f>
        <v>0</v>
      </c>
      <c r="H20" s="11" t="n">
        <v>0</v>
      </c>
      <c r="I20" s="4"/>
      <c r="J20" s="4"/>
      <c r="K20" s="4"/>
    </row>
    <row r="21" customFormat="false" ht="15.75" hidden="false" customHeight="true" outlineLevel="0" collapsed="false">
      <c r="B21" s="10" t="s">
        <v>36</v>
      </c>
      <c r="C21" s="11" t="n">
        <v>47250</v>
      </c>
      <c r="D21" s="12" t="n">
        <f aca="false">C21*0.21</f>
        <v>9922.5</v>
      </c>
      <c r="E21" s="11" t="n">
        <v>0</v>
      </c>
      <c r="F21" s="13" t="n">
        <v>0.06</v>
      </c>
      <c r="G21" s="12" t="n">
        <f aca="false">E21*F21</f>
        <v>0</v>
      </c>
      <c r="H21" s="11" t="n">
        <v>0</v>
      </c>
      <c r="I21" s="4"/>
      <c r="J21" s="4"/>
      <c r="K21" s="4"/>
    </row>
    <row r="22" customFormat="false" ht="15.75" hidden="false" customHeight="true" outlineLevel="0" collapsed="false">
      <c r="B22" s="10" t="s">
        <v>37</v>
      </c>
      <c r="C22" s="11" t="n">
        <v>0</v>
      </c>
      <c r="D22" s="13" t="n">
        <v>0</v>
      </c>
      <c r="E22" s="11" t="n">
        <v>0</v>
      </c>
      <c r="F22" s="13" t="n">
        <v>0</v>
      </c>
      <c r="G22" s="12" t="n">
        <f aca="false">E22*F22</f>
        <v>0</v>
      </c>
      <c r="H22" s="11" t="n">
        <v>0</v>
      </c>
      <c r="I22" s="4"/>
      <c r="J22" s="4"/>
      <c r="K22" s="4"/>
    </row>
    <row r="23" customFormat="false" ht="15.75" hidden="false" customHeight="true" outlineLevel="0" collapsed="false">
      <c r="B23" s="10" t="s">
        <v>38</v>
      </c>
      <c r="C23" s="11" t="n">
        <v>210.72</v>
      </c>
      <c r="D23" s="13" t="n">
        <v>0</v>
      </c>
      <c r="E23" s="11" t="n">
        <v>0</v>
      </c>
      <c r="F23" s="13" t="n">
        <v>0</v>
      </c>
      <c r="G23" s="12" t="n">
        <f aca="false">E23*F23</f>
        <v>0</v>
      </c>
      <c r="H23" s="11" t="n">
        <v>0</v>
      </c>
      <c r="I23" s="4"/>
      <c r="J23" s="4"/>
      <c r="K23" s="4"/>
    </row>
    <row r="24" customFormat="false" ht="15.75" hidden="false" customHeight="true" outlineLevel="0" collapsed="false">
      <c r="B24" s="10" t="s">
        <v>39</v>
      </c>
      <c r="C24" s="11" t="n">
        <v>5000</v>
      </c>
      <c r="D24" s="12" t="n">
        <f aca="false">C24*0.21</f>
        <v>1050</v>
      </c>
      <c r="E24" s="11" t="n">
        <v>0</v>
      </c>
      <c r="F24" s="13" t="n">
        <v>0.06</v>
      </c>
      <c r="G24" s="12" t="n">
        <f aca="false">E24*0.06</f>
        <v>0</v>
      </c>
      <c r="H24" s="11" t="n">
        <v>0</v>
      </c>
      <c r="I24" s="4"/>
      <c r="J24" s="4"/>
      <c r="K24" s="4"/>
    </row>
    <row r="25" customFormat="false" ht="15.75" hidden="false" customHeight="true" outlineLevel="0" collapsed="false">
      <c r="B25" s="10" t="s">
        <v>40</v>
      </c>
      <c r="C25" s="11" t="n">
        <v>0</v>
      </c>
      <c r="D25" s="13" t="n">
        <v>0</v>
      </c>
      <c r="E25" s="11" t="n">
        <v>0</v>
      </c>
      <c r="F25" s="13" t="n">
        <v>0</v>
      </c>
      <c r="G25" s="12" t="n">
        <f aca="false">E25*F25</f>
        <v>0</v>
      </c>
      <c r="H25" s="11" t="n">
        <v>0</v>
      </c>
      <c r="I25" s="4"/>
      <c r="J25" s="4"/>
      <c r="K25" s="4"/>
    </row>
    <row r="26" customFormat="false" ht="25.5" hidden="false" customHeight="true" outlineLevel="0" collapsed="false">
      <c r="B26" s="23" t="s">
        <v>41</v>
      </c>
      <c r="C26" s="23"/>
      <c r="D26" s="23"/>
      <c r="E26" s="23"/>
      <c r="F26" s="23"/>
      <c r="G26" s="23"/>
      <c r="H26" s="23"/>
      <c r="I26" s="4"/>
      <c r="J26" s="4"/>
      <c r="K26" s="4"/>
    </row>
    <row r="27" customFormat="false" ht="48" hidden="false" customHeight="true" outlineLevel="0" collapsed="false">
      <c r="B27" s="23" t="s">
        <v>3</v>
      </c>
      <c r="C27" s="23" t="s">
        <v>4</v>
      </c>
      <c r="D27" s="23" t="s">
        <v>5</v>
      </c>
      <c r="E27" s="23" t="s">
        <v>32</v>
      </c>
      <c r="F27" s="22" t="s">
        <v>42</v>
      </c>
      <c r="G27" s="22"/>
      <c r="H27" s="23" t="s">
        <v>8</v>
      </c>
      <c r="I27" s="4"/>
      <c r="J27" s="4"/>
      <c r="K27" s="4"/>
    </row>
    <row r="28" customFormat="false" ht="15.75" hidden="false" customHeight="true" outlineLevel="0" collapsed="false">
      <c r="B28" s="10" t="s">
        <v>43</v>
      </c>
      <c r="C28" s="11" t="n">
        <v>0</v>
      </c>
      <c r="D28" s="12" t="n">
        <f aca="false">C28*0.21</f>
        <v>0</v>
      </c>
      <c r="E28" s="11" t="n">
        <v>0</v>
      </c>
      <c r="F28" s="13" t="n">
        <v>0.08</v>
      </c>
      <c r="G28" s="12" t="n">
        <f aca="false">E28*0.08</f>
        <v>0</v>
      </c>
      <c r="H28" s="11" t="n">
        <v>0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sheetProtection algorithmName="SHA-512" hashValue="JhUm0XOGoZgLeaORw13SmhOvK5GjnpbNLEaLkh9NYZ7EAhv5tjDo+XppRMBaLGjogUiqa//WyInCJ+Grx6Tneg==" saltValue="kfaEnY9B4gFBptUU50MZxw==" spinCount="100000" sheet="true" objects="true" scenarios="true"/>
  <mergeCells count="6">
    <mergeCell ref="B4:H4"/>
    <mergeCell ref="F5:G5"/>
    <mergeCell ref="B17:H17"/>
    <mergeCell ref="F18:G18"/>
    <mergeCell ref="B26:H26"/>
    <mergeCell ref="F27:G27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ColWidth="14.50390625" defaultRowHeight="15" zeroHeight="false" outlineLevelRow="0" outlineLevelCol="0"/>
  <cols>
    <col collapsed="false" customWidth="true" hidden="false" outlineLevel="0" max="1" min="1" style="4" width="2.17"/>
    <col collapsed="false" customWidth="true" hidden="false" outlineLevel="0" max="2" min="2" style="4" width="25.5"/>
    <col collapsed="false" customWidth="true" hidden="false" outlineLevel="0" max="3" min="3" style="4" width="12.5"/>
    <col collapsed="false" customWidth="true" hidden="false" outlineLevel="0" max="4" min="4" style="4" width="6.17"/>
    <col collapsed="false" customWidth="true" hidden="false" outlineLevel="0" max="5" min="5" style="4" width="11.83"/>
    <col collapsed="false" customWidth="true" hidden="false" outlineLevel="0" max="6" min="6" style="4" width="6.17"/>
    <col collapsed="false" customWidth="true" hidden="false" outlineLevel="0" max="7" min="7" style="4" width="11.83"/>
    <col collapsed="false" customWidth="true" hidden="false" outlineLevel="0" max="8" min="8" style="4" width="6.17"/>
    <col collapsed="false" customWidth="true" hidden="false" outlineLevel="0" max="9" min="9" style="4" width="11.83"/>
    <col collapsed="false" customWidth="true" hidden="false" outlineLevel="0" max="10" min="10" style="4" width="6.17"/>
    <col collapsed="false" customWidth="true" hidden="false" outlineLevel="0" max="11" min="11" style="4" width="11.83"/>
    <col collapsed="false" customWidth="true" hidden="false" outlineLevel="0" max="12" min="12" style="4" width="6.17"/>
    <col collapsed="false" customWidth="true" hidden="false" outlineLevel="0" max="13" min="13" style="4" width="11.83"/>
    <col collapsed="false" customWidth="true" hidden="false" outlineLevel="0" max="14" min="14" style="4" width="6.17"/>
    <col collapsed="false" customWidth="true" hidden="false" outlineLevel="0" max="15" min="15" style="4" width="11.83"/>
    <col collapsed="false" customWidth="true" hidden="false" outlineLevel="0" max="16" min="16" style="4" width="6.17"/>
    <col collapsed="false" customWidth="true" hidden="false" outlineLevel="0" max="17" min="17" style="4" width="11.83"/>
    <col collapsed="false" customWidth="true" hidden="false" outlineLevel="0" max="18" min="18" style="4" width="6.17"/>
    <col collapsed="false" customWidth="true" hidden="false" outlineLevel="0" max="19" min="19" style="4" width="11.83"/>
    <col collapsed="false" customWidth="true" hidden="false" outlineLevel="0" max="20" min="20" style="4" width="6.17"/>
    <col collapsed="false" customWidth="true" hidden="false" outlineLevel="0" max="21" min="21" style="4" width="11.83"/>
    <col collapsed="false" customWidth="true" hidden="false" outlineLevel="0" max="22" min="22" style="4" width="6.17"/>
    <col collapsed="false" customWidth="true" hidden="false" outlineLevel="0" max="23" min="23" style="4" width="11.83"/>
    <col collapsed="false" customWidth="true" hidden="false" outlineLevel="0" max="24" min="24" style="4" width="6.17"/>
    <col collapsed="false" customWidth="true" hidden="false" outlineLevel="0" max="25" min="25" style="4" width="11.83"/>
    <col collapsed="false" customWidth="true" hidden="false" outlineLevel="0" max="26" min="26" style="4" width="6.17"/>
    <col collapsed="false" customWidth="true" hidden="false" outlineLevel="0" max="27" min="27" style="4" width="11.83"/>
    <col collapsed="false" customWidth="true" hidden="false" outlineLevel="0" max="28" min="28" style="4" width="6.17"/>
    <col collapsed="false" customWidth="true" hidden="false" outlineLevel="0" max="29" min="29" style="4" width="11.83"/>
    <col collapsed="false" customWidth="true" hidden="false" outlineLevel="0" max="30" min="30" style="4" width="12.33"/>
    <col collapsed="false" customWidth="false" hidden="false" outlineLevel="0" max="16384" min="31" style="4" width="14.5"/>
  </cols>
  <sheetData>
    <row r="1" customFormat="false" ht="15" hidden="false" customHeight="true" outlineLevel="0" collapsed="false">
      <c r="C1" s="24"/>
    </row>
    <row r="2" customFormat="false" ht="15" hidden="false" customHeight="true" outlineLevel="0" collapsed="false">
      <c r="C2" s="24"/>
    </row>
    <row r="3" customFormat="false" ht="49.5" hidden="false" customHeight="true" outlineLevel="0" collapsed="false">
      <c r="B3" s="25" t="s">
        <v>44</v>
      </c>
      <c r="C3" s="25"/>
      <c r="D3" s="25"/>
      <c r="E3" s="25"/>
    </row>
    <row r="4" customFormat="false" ht="15.75" hidden="false" customHeight="true" outlineLevel="0" collapsed="false">
      <c r="B4" s="26"/>
      <c r="C4" s="27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16"/>
    </row>
    <row r="5" s="29" customFormat="true" ht="28.5" hidden="false" customHeight="true" outlineLevel="0" collapsed="false">
      <c r="A5" s="8"/>
      <c r="B5" s="25" t="s">
        <v>3</v>
      </c>
      <c r="C5" s="25" t="s">
        <v>45</v>
      </c>
      <c r="D5" s="25" t="s">
        <v>46</v>
      </c>
      <c r="E5" s="25" t="s">
        <v>47</v>
      </c>
      <c r="F5" s="25" t="s">
        <v>46</v>
      </c>
      <c r="G5" s="25" t="s">
        <v>48</v>
      </c>
      <c r="H5" s="25" t="s">
        <v>46</v>
      </c>
      <c r="I5" s="25" t="s">
        <v>49</v>
      </c>
      <c r="J5" s="25" t="s">
        <v>46</v>
      </c>
      <c r="K5" s="28" t="s">
        <v>50</v>
      </c>
      <c r="L5" s="28" t="s">
        <v>46</v>
      </c>
      <c r="M5" s="28" t="s">
        <v>51</v>
      </c>
      <c r="N5" s="28" t="s">
        <v>46</v>
      </c>
      <c r="O5" s="28" t="s">
        <v>52</v>
      </c>
      <c r="P5" s="28" t="s">
        <v>46</v>
      </c>
      <c r="Q5" s="28" t="s">
        <v>53</v>
      </c>
      <c r="R5" s="28" t="s">
        <v>46</v>
      </c>
      <c r="S5" s="28" t="s">
        <v>54</v>
      </c>
      <c r="T5" s="28" t="s">
        <v>46</v>
      </c>
      <c r="U5" s="28" t="s">
        <v>55</v>
      </c>
      <c r="V5" s="28" t="s">
        <v>46</v>
      </c>
      <c r="W5" s="28" t="s">
        <v>56</v>
      </c>
      <c r="X5" s="28" t="s">
        <v>46</v>
      </c>
      <c r="Y5" s="28" t="s">
        <v>57</v>
      </c>
      <c r="Z5" s="28" t="s">
        <v>46</v>
      </c>
      <c r="AA5" s="28" t="s">
        <v>58</v>
      </c>
      <c r="AB5" s="28" t="s">
        <v>46</v>
      </c>
      <c r="AC5" s="28" t="s">
        <v>59</v>
      </c>
      <c r="AD5" s="10" t="s">
        <v>60</v>
      </c>
    </row>
    <row r="6" customFormat="false" ht="15.75" hidden="false" customHeight="true" outlineLevel="0" collapsed="false">
      <c r="A6" s="29"/>
      <c r="B6" s="30" t="s">
        <v>11</v>
      </c>
      <c r="C6" s="12" t="n">
        <f aca="false">'Inversión Inicial'!C6+'Inversión Inicial'!D6+'Inversión Inicial'!E6+'Inversión Inicial'!G6</f>
        <v>0</v>
      </c>
      <c r="D6" s="31" t="n">
        <v>0</v>
      </c>
      <c r="E6" s="32" t="n">
        <f aca="false">(C6*D6)</f>
        <v>0</v>
      </c>
      <c r="F6" s="31" t="n">
        <v>0</v>
      </c>
      <c r="G6" s="32" t="n">
        <f aca="false">C6*F6</f>
        <v>0</v>
      </c>
      <c r="H6" s="31" t="n">
        <v>0</v>
      </c>
      <c r="I6" s="32" t="n">
        <f aca="false">C6*H6</f>
        <v>0</v>
      </c>
      <c r="J6" s="31" t="n">
        <v>0</v>
      </c>
      <c r="K6" s="32" t="n">
        <f aca="false">C6*J6</f>
        <v>0</v>
      </c>
      <c r="L6" s="31" t="n">
        <v>0</v>
      </c>
      <c r="M6" s="32" t="n">
        <f aca="false">C6*L6</f>
        <v>0</v>
      </c>
      <c r="N6" s="31" t="n">
        <v>0</v>
      </c>
      <c r="O6" s="32" t="n">
        <f aca="false">C6*N6</f>
        <v>0</v>
      </c>
      <c r="P6" s="31" t="n">
        <v>0</v>
      </c>
      <c r="Q6" s="32" t="n">
        <f aca="false">C6*P6</f>
        <v>0</v>
      </c>
      <c r="R6" s="31" t="n">
        <v>0</v>
      </c>
      <c r="S6" s="32" t="n">
        <f aca="false">C6*R6</f>
        <v>0</v>
      </c>
      <c r="T6" s="31" t="n">
        <v>0</v>
      </c>
      <c r="U6" s="32" t="n">
        <f aca="false">C6*T6</f>
        <v>0</v>
      </c>
      <c r="V6" s="31" t="n">
        <v>0</v>
      </c>
      <c r="W6" s="32" t="n">
        <f aca="false">C6*V6</f>
        <v>0</v>
      </c>
      <c r="X6" s="31" t="n">
        <v>0</v>
      </c>
      <c r="Y6" s="32" t="n">
        <f aca="false">C6*X6</f>
        <v>0</v>
      </c>
      <c r="Z6" s="31" t="n">
        <v>0</v>
      </c>
      <c r="AA6" s="32" t="n">
        <f aca="false">C6*Z6</f>
        <v>0</v>
      </c>
      <c r="AB6" s="31" t="n">
        <v>0</v>
      </c>
      <c r="AC6" s="32" t="n">
        <f aca="false">C6*AB6</f>
        <v>0</v>
      </c>
      <c r="AD6" s="12" t="n">
        <f aca="false">E6+G6+I6+K6+M6+O6+Q6+S6+U6+W6+Y6+AA6+AC6-C6</f>
        <v>0</v>
      </c>
    </row>
    <row r="7" customFormat="false" ht="15" hidden="false" customHeight="true" outlineLevel="0" collapsed="false">
      <c r="A7" s="29"/>
      <c r="B7" s="30" t="s">
        <v>13</v>
      </c>
      <c r="C7" s="12" t="n">
        <f aca="false">'Inversión Inicial'!C7+'Inversión Inicial'!D7+'Inversión Inicial'!E7+'Inversión Inicial'!G7</f>
        <v>0</v>
      </c>
      <c r="D7" s="31" t="n">
        <v>0</v>
      </c>
      <c r="E7" s="32" t="n">
        <f aca="false">(C7*D7)</f>
        <v>0</v>
      </c>
      <c r="F7" s="31" t="n">
        <v>0</v>
      </c>
      <c r="G7" s="32" t="n">
        <f aca="false">C7*F7</f>
        <v>0</v>
      </c>
      <c r="H7" s="31" t="n">
        <v>0</v>
      </c>
      <c r="I7" s="32" t="n">
        <f aca="false">C7*H7</f>
        <v>0</v>
      </c>
      <c r="J7" s="31" t="n">
        <v>0</v>
      </c>
      <c r="K7" s="32" t="n">
        <f aca="false">C7*J7</f>
        <v>0</v>
      </c>
      <c r="L7" s="31" t="n">
        <v>0</v>
      </c>
      <c r="M7" s="32" t="n">
        <f aca="false">C7*L7</f>
        <v>0</v>
      </c>
      <c r="N7" s="31" t="n">
        <v>0</v>
      </c>
      <c r="O7" s="32" t="n">
        <f aca="false">C7*N7</f>
        <v>0</v>
      </c>
      <c r="P7" s="31" t="n">
        <v>0</v>
      </c>
      <c r="Q7" s="32" t="n">
        <f aca="false">C7*P7</f>
        <v>0</v>
      </c>
      <c r="R7" s="31" t="n">
        <v>0</v>
      </c>
      <c r="S7" s="32" t="n">
        <f aca="false">C7*R7</f>
        <v>0</v>
      </c>
      <c r="T7" s="31" t="n">
        <v>0</v>
      </c>
      <c r="U7" s="32" t="n">
        <f aca="false">C7*T7</f>
        <v>0</v>
      </c>
      <c r="V7" s="31" t="n">
        <v>0</v>
      </c>
      <c r="W7" s="32" t="n">
        <f aca="false">C7*V7</f>
        <v>0</v>
      </c>
      <c r="X7" s="31" t="n">
        <v>0</v>
      </c>
      <c r="Y7" s="32" t="n">
        <f aca="false">C7*X7</f>
        <v>0</v>
      </c>
      <c r="Z7" s="31" t="n">
        <v>0</v>
      </c>
      <c r="AA7" s="32" t="n">
        <f aca="false">C7*Z7</f>
        <v>0</v>
      </c>
      <c r="AB7" s="31" t="n">
        <v>0</v>
      </c>
      <c r="AC7" s="32" t="n">
        <f aca="false">C7*AB7</f>
        <v>0</v>
      </c>
      <c r="AD7" s="12" t="n">
        <f aca="false">E7+G7+I7+K7+M7+O7+Q7+S7+U7+W7+Y7+AA7+AC7-C7</f>
        <v>0</v>
      </c>
    </row>
    <row r="8" customFormat="false" ht="15" hidden="false" customHeight="true" outlineLevel="0" collapsed="false">
      <c r="A8" s="29"/>
      <c r="B8" s="30" t="s">
        <v>15</v>
      </c>
      <c r="C8" s="12" t="n">
        <f aca="false">'Inversión Inicial'!C8+'Inversión Inicial'!D8+'Inversión Inicial'!E8+'Inversión Inicial'!G8</f>
        <v>0</v>
      </c>
      <c r="D8" s="31" t="n">
        <v>0</v>
      </c>
      <c r="E8" s="32" t="n">
        <f aca="false">(C8*D8)</f>
        <v>0</v>
      </c>
      <c r="F8" s="31" t="n">
        <v>0</v>
      </c>
      <c r="G8" s="32" t="n">
        <f aca="false">C8*F8</f>
        <v>0</v>
      </c>
      <c r="H8" s="31" t="n">
        <v>0</v>
      </c>
      <c r="I8" s="32" t="n">
        <f aca="false">C8*H8</f>
        <v>0</v>
      </c>
      <c r="J8" s="31" t="n">
        <v>0</v>
      </c>
      <c r="K8" s="32" t="n">
        <f aca="false">C8*J8</f>
        <v>0</v>
      </c>
      <c r="L8" s="31" t="n">
        <v>0</v>
      </c>
      <c r="M8" s="32" t="n">
        <f aca="false">C8*L8</f>
        <v>0</v>
      </c>
      <c r="N8" s="31" t="n">
        <v>0</v>
      </c>
      <c r="O8" s="32" t="n">
        <f aca="false">C8*N8</f>
        <v>0</v>
      </c>
      <c r="P8" s="31" t="n">
        <v>0</v>
      </c>
      <c r="Q8" s="32" t="n">
        <f aca="false">C8*P8</f>
        <v>0</v>
      </c>
      <c r="R8" s="31" t="n">
        <v>0</v>
      </c>
      <c r="S8" s="32" t="n">
        <f aca="false">C8*R8</f>
        <v>0</v>
      </c>
      <c r="T8" s="31" t="n">
        <v>0</v>
      </c>
      <c r="U8" s="32" t="n">
        <f aca="false">C8*T8</f>
        <v>0</v>
      </c>
      <c r="V8" s="31" t="n">
        <v>0</v>
      </c>
      <c r="W8" s="32" t="n">
        <f aca="false">C8*V8</f>
        <v>0</v>
      </c>
      <c r="X8" s="31" t="n">
        <v>0</v>
      </c>
      <c r="Y8" s="32" t="n">
        <f aca="false">C8*X8</f>
        <v>0</v>
      </c>
      <c r="Z8" s="31" t="n">
        <v>0</v>
      </c>
      <c r="AA8" s="32" t="n">
        <f aca="false">C8*Z8</f>
        <v>0</v>
      </c>
      <c r="AB8" s="31" t="n">
        <v>0</v>
      </c>
      <c r="AC8" s="32" t="n">
        <f aca="false">C8*AB8</f>
        <v>0</v>
      </c>
      <c r="AD8" s="12" t="n">
        <f aca="false">E8+G8+I8+K8+M8+O8+Q8+S8+U8+W8+Y8+AA8+AC8-C8</f>
        <v>0</v>
      </c>
    </row>
    <row r="9" customFormat="false" ht="15" hidden="false" customHeight="true" outlineLevel="0" collapsed="false">
      <c r="A9" s="29"/>
      <c r="B9" s="30" t="s">
        <v>17</v>
      </c>
      <c r="C9" s="12" t="n">
        <f aca="false">'Inversión Inicial'!C9+'Inversión Inicial'!D9+'Inversión Inicial'!E9+'Inversión Inicial'!G9</f>
        <v>0</v>
      </c>
      <c r="D9" s="31" t="n">
        <v>0</v>
      </c>
      <c r="E9" s="32" t="n">
        <f aca="false">(C9*D9)</f>
        <v>0</v>
      </c>
      <c r="F9" s="31" t="n">
        <v>0</v>
      </c>
      <c r="G9" s="32" t="n">
        <f aca="false">C9*F9</f>
        <v>0</v>
      </c>
      <c r="H9" s="31" t="n">
        <v>0</v>
      </c>
      <c r="I9" s="32" t="n">
        <f aca="false">C9*H9</f>
        <v>0</v>
      </c>
      <c r="J9" s="31" t="n">
        <v>0</v>
      </c>
      <c r="K9" s="32" t="n">
        <f aca="false">C9*J9</f>
        <v>0</v>
      </c>
      <c r="L9" s="31" t="n">
        <v>0</v>
      </c>
      <c r="M9" s="32" t="n">
        <f aca="false">C9*L9</f>
        <v>0</v>
      </c>
      <c r="N9" s="31" t="n">
        <v>0</v>
      </c>
      <c r="O9" s="32" t="n">
        <f aca="false">C9*N9</f>
        <v>0</v>
      </c>
      <c r="P9" s="31" t="n">
        <v>0</v>
      </c>
      <c r="Q9" s="32" t="n">
        <f aca="false">C9*P9</f>
        <v>0</v>
      </c>
      <c r="R9" s="31" t="n">
        <v>0</v>
      </c>
      <c r="S9" s="32" t="n">
        <f aca="false">C9*R9</f>
        <v>0</v>
      </c>
      <c r="T9" s="31" t="n">
        <v>0</v>
      </c>
      <c r="U9" s="32" t="n">
        <f aca="false">C9*T9</f>
        <v>0</v>
      </c>
      <c r="V9" s="31" t="n">
        <v>0</v>
      </c>
      <c r="W9" s="32" t="n">
        <f aca="false">C9*V9</f>
        <v>0</v>
      </c>
      <c r="X9" s="31" t="n">
        <v>0</v>
      </c>
      <c r="Y9" s="32" t="n">
        <f aca="false">C9*X9</f>
        <v>0</v>
      </c>
      <c r="Z9" s="31" t="n">
        <v>0</v>
      </c>
      <c r="AA9" s="32" t="n">
        <f aca="false">C9*Z9</f>
        <v>0</v>
      </c>
      <c r="AB9" s="31" t="n">
        <v>0</v>
      </c>
      <c r="AC9" s="32" t="n">
        <f aca="false">C9*AB9</f>
        <v>0</v>
      </c>
      <c r="AD9" s="12" t="n">
        <f aca="false">E9+G9+I9+K9+M9+O9+Q9+S9+U9+W9+Y9+AA9+AC9-C9</f>
        <v>0</v>
      </c>
    </row>
    <row r="10" customFormat="false" ht="15" hidden="false" customHeight="true" outlineLevel="0" collapsed="false">
      <c r="A10" s="29"/>
      <c r="B10" s="30" t="s">
        <v>18</v>
      </c>
      <c r="C10" s="12" t="n">
        <f aca="false">'Inversión Inicial'!C10+'Inversión Inicial'!D10+'Inversión Inicial'!E10+'Inversión Inicial'!G10</f>
        <v>0</v>
      </c>
      <c r="D10" s="31" t="n">
        <v>0</v>
      </c>
      <c r="E10" s="32" t="n">
        <f aca="false">(C10*D10)</f>
        <v>0</v>
      </c>
      <c r="F10" s="31" t="n">
        <v>0</v>
      </c>
      <c r="G10" s="32" t="n">
        <f aca="false">C10*F10</f>
        <v>0</v>
      </c>
      <c r="H10" s="31" t="n">
        <v>0</v>
      </c>
      <c r="I10" s="32" t="n">
        <f aca="false">C10*H10</f>
        <v>0</v>
      </c>
      <c r="J10" s="31" t="n">
        <v>0</v>
      </c>
      <c r="K10" s="32" t="n">
        <f aca="false">C10*J10</f>
        <v>0</v>
      </c>
      <c r="L10" s="31" t="n">
        <v>0</v>
      </c>
      <c r="M10" s="32" t="n">
        <f aca="false">C10*L10</f>
        <v>0</v>
      </c>
      <c r="N10" s="31" t="n">
        <v>0</v>
      </c>
      <c r="O10" s="32" t="n">
        <f aca="false">C10*N10</f>
        <v>0</v>
      </c>
      <c r="P10" s="31" t="n">
        <v>0</v>
      </c>
      <c r="Q10" s="32" t="n">
        <f aca="false">C10*P10</f>
        <v>0</v>
      </c>
      <c r="R10" s="31" t="n">
        <v>0</v>
      </c>
      <c r="S10" s="32" t="n">
        <f aca="false">C10*R10</f>
        <v>0</v>
      </c>
      <c r="T10" s="31" t="n">
        <v>0</v>
      </c>
      <c r="U10" s="32" t="n">
        <f aca="false">C10*T10</f>
        <v>0</v>
      </c>
      <c r="V10" s="31" t="n">
        <v>0</v>
      </c>
      <c r="W10" s="32" t="n">
        <f aca="false">C10*V10</f>
        <v>0</v>
      </c>
      <c r="X10" s="31" t="n">
        <v>0</v>
      </c>
      <c r="Y10" s="32" t="n">
        <f aca="false">C10*X10</f>
        <v>0</v>
      </c>
      <c r="Z10" s="31" t="n">
        <v>0</v>
      </c>
      <c r="AA10" s="32" t="n">
        <f aca="false">C10*Z10</f>
        <v>0</v>
      </c>
      <c r="AB10" s="31" t="n">
        <v>0</v>
      </c>
      <c r="AC10" s="32" t="n">
        <f aca="false">C10*AB10</f>
        <v>0</v>
      </c>
      <c r="AD10" s="12" t="n">
        <f aca="false">E10+G10+I10+K10+M10+O10+Q10+S10+U10+W10+Y10+AA10+AC10-C10</f>
        <v>0</v>
      </c>
    </row>
    <row r="11" customFormat="false" ht="15" hidden="false" customHeight="true" outlineLevel="0" collapsed="false">
      <c r="A11" s="29"/>
      <c r="B11" s="30" t="s">
        <v>20</v>
      </c>
      <c r="C11" s="12" t="n">
        <f aca="false">'Inversión Inicial'!C11+'Inversión Inicial'!D11+'Inversión Inicial'!E11+'Inversión Inicial'!G11</f>
        <v>0</v>
      </c>
      <c r="D11" s="31" t="n">
        <v>0</v>
      </c>
      <c r="E11" s="32" t="n">
        <f aca="false">(C11*D11)</f>
        <v>0</v>
      </c>
      <c r="F11" s="31" t="n">
        <v>0</v>
      </c>
      <c r="G11" s="32" t="n">
        <f aca="false">C11*F11</f>
        <v>0</v>
      </c>
      <c r="H11" s="31" t="n">
        <v>0</v>
      </c>
      <c r="I11" s="32" t="n">
        <f aca="false">C11*H11</f>
        <v>0</v>
      </c>
      <c r="J11" s="31" t="n">
        <v>0</v>
      </c>
      <c r="K11" s="32" t="n">
        <f aca="false">C11*J11</f>
        <v>0</v>
      </c>
      <c r="L11" s="31" t="n">
        <v>0</v>
      </c>
      <c r="M11" s="32" t="n">
        <f aca="false">C11*L11</f>
        <v>0</v>
      </c>
      <c r="N11" s="31" t="n">
        <v>0</v>
      </c>
      <c r="O11" s="32" t="n">
        <f aca="false">C11*N11</f>
        <v>0</v>
      </c>
      <c r="P11" s="31" t="n">
        <v>0</v>
      </c>
      <c r="Q11" s="32" t="n">
        <f aca="false">C11*P11</f>
        <v>0</v>
      </c>
      <c r="R11" s="31" t="n">
        <v>0</v>
      </c>
      <c r="S11" s="32" t="n">
        <f aca="false">C11*R11</f>
        <v>0</v>
      </c>
      <c r="T11" s="31" t="n">
        <v>0</v>
      </c>
      <c r="U11" s="32" t="n">
        <f aca="false">C11*T11</f>
        <v>0</v>
      </c>
      <c r="V11" s="31" t="n">
        <v>0</v>
      </c>
      <c r="W11" s="32" t="n">
        <f aca="false">C11*V11</f>
        <v>0</v>
      </c>
      <c r="X11" s="31" t="n">
        <v>0</v>
      </c>
      <c r="Y11" s="32" t="n">
        <f aca="false">C11*X11</f>
        <v>0</v>
      </c>
      <c r="Z11" s="31" t="n">
        <v>0</v>
      </c>
      <c r="AA11" s="32" t="n">
        <f aca="false">C11*Z11</f>
        <v>0</v>
      </c>
      <c r="AB11" s="31" t="n">
        <v>0</v>
      </c>
      <c r="AC11" s="32" t="n">
        <f aca="false">C11*AB11</f>
        <v>0</v>
      </c>
      <c r="AD11" s="12" t="n">
        <f aca="false">E11+G11+I11+K11+M11+O11+Q11+S11+U11+W11+Y11+AA11+AC11-C11</f>
        <v>0</v>
      </c>
    </row>
    <row r="12" customFormat="false" ht="15" hidden="false" customHeight="true" outlineLevel="0" collapsed="false">
      <c r="A12" s="29"/>
      <c r="B12" s="30" t="s">
        <v>22</v>
      </c>
      <c r="C12" s="12" t="n">
        <f aca="false">'Inversión Inicial'!C12+'Inversión Inicial'!D12+'Inversión Inicial'!E12+'Inversión Inicial'!G12</f>
        <v>0</v>
      </c>
      <c r="D12" s="31" t="n">
        <v>0</v>
      </c>
      <c r="E12" s="32" t="n">
        <f aca="false">(C12*D12)</f>
        <v>0</v>
      </c>
      <c r="F12" s="31" t="n">
        <v>0</v>
      </c>
      <c r="G12" s="32" t="n">
        <f aca="false">C12*F12</f>
        <v>0</v>
      </c>
      <c r="H12" s="31" t="n">
        <v>0</v>
      </c>
      <c r="I12" s="32" t="n">
        <f aca="false">C12*H12</f>
        <v>0</v>
      </c>
      <c r="J12" s="31" t="n">
        <v>0</v>
      </c>
      <c r="K12" s="32" t="n">
        <f aca="false">C12*J12</f>
        <v>0</v>
      </c>
      <c r="L12" s="31" t="n">
        <v>0</v>
      </c>
      <c r="M12" s="32" t="n">
        <f aca="false">C12*L12</f>
        <v>0</v>
      </c>
      <c r="N12" s="31" t="n">
        <v>0</v>
      </c>
      <c r="O12" s="32" t="n">
        <f aca="false">C12*N12</f>
        <v>0</v>
      </c>
      <c r="P12" s="31" t="n">
        <v>0</v>
      </c>
      <c r="Q12" s="32" t="n">
        <f aca="false">C12*P12</f>
        <v>0</v>
      </c>
      <c r="R12" s="31" t="n">
        <v>0</v>
      </c>
      <c r="S12" s="32" t="n">
        <f aca="false">C12*R12</f>
        <v>0</v>
      </c>
      <c r="T12" s="31" t="n">
        <v>0</v>
      </c>
      <c r="U12" s="32" t="n">
        <f aca="false">C12*T12</f>
        <v>0</v>
      </c>
      <c r="V12" s="31" t="n">
        <v>0</v>
      </c>
      <c r="W12" s="32" t="n">
        <f aca="false">C12*V12</f>
        <v>0</v>
      </c>
      <c r="X12" s="31" t="n">
        <v>0</v>
      </c>
      <c r="Y12" s="32" t="n">
        <f aca="false">C12*X12</f>
        <v>0</v>
      </c>
      <c r="Z12" s="31" t="n">
        <v>0</v>
      </c>
      <c r="AA12" s="32" t="n">
        <f aca="false">C12*Z12</f>
        <v>0</v>
      </c>
      <c r="AB12" s="31" t="n">
        <v>0</v>
      </c>
      <c r="AC12" s="32" t="n">
        <f aca="false">C12*AB12</f>
        <v>0</v>
      </c>
      <c r="AD12" s="12" t="n">
        <f aca="false">E12+G12+I12+K12+M12+O12+Q12+S12+U12+W12+Y12+AA12+AC12-C12</f>
        <v>0</v>
      </c>
    </row>
    <row r="13" customFormat="false" ht="15" hidden="false" customHeight="true" outlineLevel="0" collapsed="false">
      <c r="A13" s="29"/>
      <c r="B13" s="30" t="s">
        <v>24</v>
      </c>
      <c r="C13" s="12" t="n">
        <f aca="false">'Inversión Inicial'!C13+'Inversión Inicial'!D13+'Inversión Inicial'!E13+'Inversión Inicial'!G13</f>
        <v>0</v>
      </c>
      <c r="D13" s="31" t="n">
        <v>0</v>
      </c>
      <c r="E13" s="32" t="n">
        <f aca="false">(C13*D13)</f>
        <v>0</v>
      </c>
      <c r="F13" s="31" t="n">
        <v>0</v>
      </c>
      <c r="G13" s="32" t="n">
        <f aca="false">C13*F13</f>
        <v>0</v>
      </c>
      <c r="H13" s="31" t="n">
        <v>0</v>
      </c>
      <c r="I13" s="32" t="n">
        <f aca="false">C13*H13</f>
        <v>0</v>
      </c>
      <c r="J13" s="31" t="n">
        <v>0</v>
      </c>
      <c r="K13" s="32" t="n">
        <f aca="false">C13*J13</f>
        <v>0</v>
      </c>
      <c r="L13" s="31" t="n">
        <v>0</v>
      </c>
      <c r="M13" s="32" t="n">
        <f aca="false">C13*L13</f>
        <v>0</v>
      </c>
      <c r="N13" s="31" t="n">
        <v>0</v>
      </c>
      <c r="O13" s="32" t="n">
        <f aca="false">C13*N13</f>
        <v>0</v>
      </c>
      <c r="P13" s="31" t="n">
        <v>0</v>
      </c>
      <c r="Q13" s="32" t="n">
        <f aca="false">C13*P13</f>
        <v>0</v>
      </c>
      <c r="R13" s="31" t="n">
        <v>0</v>
      </c>
      <c r="S13" s="32" t="n">
        <f aca="false">C13*R13</f>
        <v>0</v>
      </c>
      <c r="T13" s="31" t="n">
        <v>0</v>
      </c>
      <c r="U13" s="32" t="n">
        <f aca="false">C13*T13</f>
        <v>0</v>
      </c>
      <c r="V13" s="31" t="n">
        <v>0</v>
      </c>
      <c r="W13" s="32" t="n">
        <f aca="false">C13*V13</f>
        <v>0</v>
      </c>
      <c r="X13" s="31" t="n">
        <v>0</v>
      </c>
      <c r="Y13" s="32" t="n">
        <f aca="false">C13*X13</f>
        <v>0</v>
      </c>
      <c r="Z13" s="31" t="n">
        <v>0</v>
      </c>
      <c r="AA13" s="32" t="n">
        <f aca="false">C13*Z13</f>
        <v>0</v>
      </c>
      <c r="AB13" s="31" t="n">
        <v>0</v>
      </c>
      <c r="AC13" s="32" t="n">
        <f aca="false">C13*AB13</f>
        <v>0</v>
      </c>
      <c r="AD13" s="12" t="n">
        <f aca="false">E13+G13+I13+K13+M13+O13+Q13+S13+U13+W13+Y13+AA13+AC13-C13</f>
        <v>0</v>
      </c>
    </row>
    <row r="14" customFormat="false" ht="15" hidden="false" customHeight="true" outlineLevel="0" collapsed="false">
      <c r="A14" s="29"/>
      <c r="B14" s="30" t="s">
        <v>26</v>
      </c>
      <c r="C14" s="12" t="n">
        <f aca="false">'Inversión Inicial'!C14+'Inversión Inicial'!D14+'Inversión Inicial'!E14+'Inversión Inicial'!G14</f>
        <v>0</v>
      </c>
      <c r="D14" s="31" t="n">
        <v>0</v>
      </c>
      <c r="E14" s="32" t="n">
        <f aca="false">(C14*D14)</f>
        <v>0</v>
      </c>
      <c r="F14" s="31" t="n">
        <v>0</v>
      </c>
      <c r="G14" s="32" t="n">
        <f aca="false">C14*F14</f>
        <v>0</v>
      </c>
      <c r="H14" s="31" t="n">
        <v>0</v>
      </c>
      <c r="I14" s="32" t="n">
        <f aca="false">C14*H14</f>
        <v>0</v>
      </c>
      <c r="J14" s="31" t="n">
        <v>0</v>
      </c>
      <c r="K14" s="32" t="n">
        <f aca="false">C14*J14</f>
        <v>0</v>
      </c>
      <c r="L14" s="31" t="n">
        <v>0</v>
      </c>
      <c r="M14" s="32" t="n">
        <f aca="false">C14*L14</f>
        <v>0</v>
      </c>
      <c r="N14" s="31" t="n">
        <v>0</v>
      </c>
      <c r="O14" s="32" t="n">
        <f aca="false">C14*N14</f>
        <v>0</v>
      </c>
      <c r="P14" s="31" t="n">
        <v>0</v>
      </c>
      <c r="Q14" s="32" t="n">
        <f aca="false">C14*P14</f>
        <v>0</v>
      </c>
      <c r="R14" s="31" t="n">
        <v>0</v>
      </c>
      <c r="S14" s="32" t="n">
        <f aca="false">C14*R14</f>
        <v>0</v>
      </c>
      <c r="T14" s="31" t="n">
        <v>0</v>
      </c>
      <c r="U14" s="32" t="n">
        <f aca="false">C14*T14</f>
        <v>0</v>
      </c>
      <c r="V14" s="31" t="n">
        <v>0</v>
      </c>
      <c r="W14" s="32" t="n">
        <f aca="false">C14*V14</f>
        <v>0</v>
      </c>
      <c r="X14" s="31" t="n">
        <v>0</v>
      </c>
      <c r="Y14" s="32" t="n">
        <f aca="false">C14*X14</f>
        <v>0</v>
      </c>
      <c r="Z14" s="31" t="n">
        <v>0</v>
      </c>
      <c r="AA14" s="32" t="n">
        <f aca="false">C14*Z14</f>
        <v>0</v>
      </c>
      <c r="AB14" s="31" t="n">
        <v>0</v>
      </c>
      <c r="AC14" s="32" t="n">
        <f aca="false">C14*AB14</f>
        <v>0</v>
      </c>
      <c r="AD14" s="12" t="n">
        <f aca="false">E14+G14+I14+K14+M14+O14+Q14+S14+U14+W14+Y14+AA14+AC14-C14</f>
        <v>0</v>
      </c>
    </row>
    <row r="15" customFormat="false" ht="15" hidden="false" customHeight="true" outlineLevel="0" collapsed="false">
      <c r="A15" s="29"/>
      <c r="B15" s="30" t="s">
        <v>61</v>
      </c>
      <c r="C15" s="12" t="n">
        <f aca="false">'Inversión Inicial'!C15+'Inversión Inicial'!D15+'Inversión Inicial'!E15+'Inversión Inicial'!G15</f>
        <v>12100</v>
      </c>
      <c r="D15" s="31" t="n">
        <v>0</v>
      </c>
      <c r="E15" s="32" t="n">
        <f aca="false">(C15*D15)</f>
        <v>0</v>
      </c>
      <c r="F15" s="31" t="n">
        <v>0</v>
      </c>
      <c r="G15" s="32" t="n">
        <f aca="false">C15*F15</f>
        <v>0</v>
      </c>
      <c r="H15" s="31" t="n">
        <v>0</v>
      </c>
      <c r="I15" s="32" t="n">
        <f aca="false">C15*H15</f>
        <v>0</v>
      </c>
      <c r="J15" s="31" t="n">
        <v>0</v>
      </c>
      <c r="K15" s="32" t="n">
        <f aca="false">C15*J15</f>
        <v>0</v>
      </c>
      <c r="L15" s="31" t="n">
        <v>0</v>
      </c>
      <c r="M15" s="32" t="n">
        <f aca="false">C15*L15</f>
        <v>0</v>
      </c>
      <c r="N15" s="31" t="n">
        <v>0</v>
      </c>
      <c r="O15" s="32" t="n">
        <f aca="false">C15*N15</f>
        <v>0</v>
      </c>
      <c r="P15" s="31" t="n">
        <v>0</v>
      </c>
      <c r="Q15" s="32" t="n">
        <f aca="false">C15*P15</f>
        <v>0</v>
      </c>
      <c r="R15" s="31" t="n">
        <v>0</v>
      </c>
      <c r="S15" s="32" t="n">
        <f aca="false">C15*R15</f>
        <v>0</v>
      </c>
      <c r="T15" s="31" t="n">
        <v>0</v>
      </c>
      <c r="U15" s="32" t="n">
        <f aca="false">C15*T15</f>
        <v>0</v>
      </c>
      <c r="V15" s="31" t="n">
        <v>0</v>
      </c>
      <c r="W15" s="32" t="n">
        <f aca="false">C15*V15</f>
        <v>0</v>
      </c>
      <c r="X15" s="31" t="n">
        <v>0</v>
      </c>
      <c r="Y15" s="32" t="n">
        <f aca="false">C15*X15</f>
        <v>0</v>
      </c>
      <c r="Z15" s="31" t="n">
        <v>0</v>
      </c>
      <c r="AA15" s="32" t="n">
        <f aca="false">C15*Z15</f>
        <v>0</v>
      </c>
      <c r="AB15" s="31" t="n">
        <v>0</v>
      </c>
      <c r="AC15" s="32" t="n">
        <f aca="false">C15*AB15</f>
        <v>0</v>
      </c>
      <c r="AD15" s="12" t="n">
        <f aca="false">E15+G15+I15+K15+M15+O15+Q15+S15+U15+W15+Y15+AA15+AC15-C15</f>
        <v>-12100</v>
      </c>
    </row>
    <row r="16" customFormat="false" ht="15" hidden="false" customHeight="true" outlineLevel="0" collapsed="false">
      <c r="A16" s="29"/>
      <c r="B16" s="30" t="s">
        <v>62</v>
      </c>
      <c r="C16" s="12" t="n">
        <f aca="false">'Inversión Inicial'!C19+'Inversión Inicial'!D19+'Inversión Inicial'!E19+'Inversión Inicial'!G19</f>
        <v>36300</v>
      </c>
      <c r="D16" s="31" t="n">
        <v>0</v>
      </c>
      <c r="E16" s="32" t="n">
        <f aca="false">(C16*D16)</f>
        <v>0</v>
      </c>
      <c r="F16" s="31" t="n">
        <v>0</v>
      </c>
      <c r="G16" s="32" t="n">
        <f aca="false">C16*F16</f>
        <v>0</v>
      </c>
      <c r="H16" s="31" t="n">
        <v>0</v>
      </c>
      <c r="I16" s="32" t="n">
        <f aca="false">C16*H16</f>
        <v>0</v>
      </c>
      <c r="J16" s="31" t="n">
        <v>0</v>
      </c>
      <c r="K16" s="32" t="n">
        <f aca="false">C16*J16</f>
        <v>0</v>
      </c>
      <c r="L16" s="31" t="n">
        <v>0</v>
      </c>
      <c r="M16" s="32" t="n">
        <f aca="false">C16*L16</f>
        <v>0</v>
      </c>
      <c r="N16" s="31" t="n">
        <v>0</v>
      </c>
      <c r="O16" s="32" t="n">
        <f aca="false">C16*N16</f>
        <v>0</v>
      </c>
      <c r="P16" s="31" t="n">
        <v>0</v>
      </c>
      <c r="Q16" s="32" t="n">
        <f aca="false">C16*P16</f>
        <v>0</v>
      </c>
      <c r="R16" s="31" t="n">
        <v>0</v>
      </c>
      <c r="S16" s="32" t="n">
        <f aca="false">C16*R16</f>
        <v>0</v>
      </c>
      <c r="T16" s="31" t="n">
        <v>0</v>
      </c>
      <c r="U16" s="32" t="n">
        <f aca="false">C16*T16</f>
        <v>0</v>
      </c>
      <c r="V16" s="31" t="n">
        <v>0</v>
      </c>
      <c r="W16" s="32" t="n">
        <f aca="false">C16*V16</f>
        <v>0</v>
      </c>
      <c r="X16" s="31" t="n">
        <v>0</v>
      </c>
      <c r="Y16" s="32" t="n">
        <f aca="false">C16*X16</f>
        <v>0</v>
      </c>
      <c r="Z16" s="31" t="n">
        <v>0</v>
      </c>
      <c r="AA16" s="32" t="n">
        <f aca="false">C16*Z16</f>
        <v>0</v>
      </c>
      <c r="AB16" s="31" t="n">
        <v>0</v>
      </c>
      <c r="AC16" s="32" t="n">
        <f aca="false">C16*AB16</f>
        <v>0</v>
      </c>
      <c r="AD16" s="12" t="n">
        <f aca="false">E16+G16+I16+K16+M16+O16+Q16+S16+U16+W16+Y16+AA16+AC16-C16</f>
        <v>-36300</v>
      </c>
    </row>
    <row r="17" customFormat="false" ht="15" hidden="false" customHeight="true" outlineLevel="0" collapsed="false">
      <c r="A17" s="29"/>
      <c r="B17" s="30" t="s">
        <v>35</v>
      </c>
      <c r="C17" s="12" t="n">
        <f aca="false">'Inversión Inicial'!C20+'Inversión Inicial'!D20+'Inversión Inicial'!E20+'Inversión Inicial'!G20</f>
        <v>0</v>
      </c>
      <c r="D17" s="31" t="n">
        <v>0</v>
      </c>
      <c r="E17" s="32" t="n">
        <f aca="false">(C17*D17)</f>
        <v>0</v>
      </c>
      <c r="F17" s="31" t="n">
        <v>0</v>
      </c>
      <c r="G17" s="32" t="n">
        <f aca="false">C17*F17</f>
        <v>0</v>
      </c>
      <c r="H17" s="31" t="n">
        <v>0</v>
      </c>
      <c r="I17" s="32" t="n">
        <f aca="false">C17*H17</f>
        <v>0</v>
      </c>
      <c r="J17" s="31" t="n">
        <v>0</v>
      </c>
      <c r="K17" s="32" t="n">
        <f aca="false">C17*J17</f>
        <v>0</v>
      </c>
      <c r="L17" s="31" t="n">
        <v>0</v>
      </c>
      <c r="M17" s="32" t="n">
        <f aca="false">C17*L17</f>
        <v>0</v>
      </c>
      <c r="N17" s="31" t="n">
        <v>0</v>
      </c>
      <c r="O17" s="32" t="n">
        <f aca="false">C17*N17</f>
        <v>0</v>
      </c>
      <c r="P17" s="31" t="n">
        <v>0</v>
      </c>
      <c r="Q17" s="32" t="n">
        <f aca="false">C17*P17</f>
        <v>0</v>
      </c>
      <c r="R17" s="31" t="n">
        <v>0</v>
      </c>
      <c r="S17" s="32" t="n">
        <f aca="false">C17*R17</f>
        <v>0</v>
      </c>
      <c r="T17" s="31" t="n">
        <v>0</v>
      </c>
      <c r="U17" s="32" t="n">
        <f aca="false">C17*T17</f>
        <v>0</v>
      </c>
      <c r="V17" s="31" t="n">
        <v>0</v>
      </c>
      <c r="W17" s="32" t="n">
        <f aca="false">C17*V17</f>
        <v>0</v>
      </c>
      <c r="X17" s="31" t="n">
        <v>0</v>
      </c>
      <c r="Y17" s="32" t="n">
        <f aca="false">C17*X17</f>
        <v>0</v>
      </c>
      <c r="Z17" s="31" t="n">
        <v>0</v>
      </c>
      <c r="AA17" s="32" t="n">
        <f aca="false">C17*Z17</f>
        <v>0</v>
      </c>
      <c r="AB17" s="31" t="n">
        <v>0</v>
      </c>
      <c r="AC17" s="32" t="n">
        <f aca="false">C17*AB17</f>
        <v>0</v>
      </c>
      <c r="AD17" s="12" t="n">
        <f aca="false">E17+G17+I17+K17+M17+O17+Q17+S17+U17+W17+Y17+AA17+AC17-C17</f>
        <v>0</v>
      </c>
    </row>
    <row r="18" customFormat="false" ht="15" hidden="false" customHeight="true" outlineLevel="0" collapsed="false">
      <c r="A18" s="29"/>
      <c r="B18" s="30" t="s">
        <v>63</v>
      </c>
      <c r="C18" s="12" t="n">
        <f aca="false">'Inversión Inicial'!C21+'Inversión Inicial'!D21+'Inversión Inicial'!E21+'Inversión Inicial'!G21</f>
        <v>57172.5</v>
      </c>
      <c r="D18" s="31" t="n">
        <v>0</v>
      </c>
      <c r="E18" s="32" t="n">
        <f aca="false">(C18*D18)</f>
        <v>0</v>
      </c>
      <c r="F18" s="31" t="n">
        <v>0</v>
      </c>
      <c r="G18" s="32" t="n">
        <f aca="false">C18*F18</f>
        <v>0</v>
      </c>
      <c r="H18" s="31" t="n">
        <v>0</v>
      </c>
      <c r="I18" s="32" t="n">
        <f aca="false">C18*H18</f>
        <v>0</v>
      </c>
      <c r="J18" s="31" t="n">
        <v>0</v>
      </c>
      <c r="K18" s="32" t="n">
        <f aca="false">C18*J18</f>
        <v>0</v>
      </c>
      <c r="L18" s="31" t="n">
        <v>0</v>
      </c>
      <c r="M18" s="32" t="n">
        <f aca="false">C18*L18</f>
        <v>0</v>
      </c>
      <c r="N18" s="31" t="n">
        <v>0</v>
      </c>
      <c r="O18" s="32" t="n">
        <f aca="false">C18*N18</f>
        <v>0</v>
      </c>
      <c r="P18" s="31" t="n">
        <v>0</v>
      </c>
      <c r="Q18" s="32" t="n">
        <f aca="false">C18*P18</f>
        <v>0</v>
      </c>
      <c r="R18" s="31" t="n">
        <v>0</v>
      </c>
      <c r="S18" s="32" t="n">
        <f aca="false">C18*R18</f>
        <v>0</v>
      </c>
      <c r="T18" s="31" t="n">
        <v>0</v>
      </c>
      <c r="U18" s="32" t="n">
        <f aca="false">C18*T18</f>
        <v>0</v>
      </c>
      <c r="V18" s="31" t="n">
        <v>0</v>
      </c>
      <c r="W18" s="32" t="n">
        <f aca="false">C18*V18</f>
        <v>0</v>
      </c>
      <c r="X18" s="31" t="n">
        <v>0</v>
      </c>
      <c r="Y18" s="32" t="n">
        <f aca="false">C18*X18</f>
        <v>0</v>
      </c>
      <c r="Z18" s="31" t="n">
        <v>0</v>
      </c>
      <c r="AA18" s="32" t="n">
        <f aca="false">C18*Z18</f>
        <v>0</v>
      </c>
      <c r="AB18" s="31" t="n">
        <v>0</v>
      </c>
      <c r="AC18" s="32" t="n">
        <f aca="false">C18*AB18</f>
        <v>0</v>
      </c>
      <c r="AD18" s="12" t="n">
        <f aca="false">E18+G18+I18+K18+M18+O18+Q18+S18+U18+W18+Y18+AA18+AC18-C18</f>
        <v>-57172.5</v>
      </c>
    </row>
    <row r="19" customFormat="false" ht="48" hidden="false" customHeight="true" outlineLevel="0" collapsed="false">
      <c r="A19" s="29"/>
      <c r="B19" s="30" t="s">
        <v>37</v>
      </c>
      <c r="C19" s="12" t="n">
        <f aca="false">'Inversión Inicial'!C22+'Inversión Inicial'!E22+'Inversión Inicial'!G22</f>
        <v>0</v>
      </c>
      <c r="D19" s="31" t="n">
        <v>0</v>
      </c>
      <c r="E19" s="32" t="n">
        <f aca="false">(C19*D19)</f>
        <v>0</v>
      </c>
      <c r="F19" s="31" t="n">
        <v>0</v>
      </c>
      <c r="G19" s="32" t="n">
        <f aca="false">C19*F19</f>
        <v>0</v>
      </c>
      <c r="H19" s="31" t="n">
        <v>0</v>
      </c>
      <c r="I19" s="32" t="n">
        <f aca="false">C19*H19</f>
        <v>0</v>
      </c>
      <c r="J19" s="31" t="n">
        <v>0</v>
      </c>
      <c r="K19" s="32" t="n">
        <f aca="false">C19*J19</f>
        <v>0</v>
      </c>
      <c r="L19" s="31" t="n">
        <v>0</v>
      </c>
      <c r="M19" s="32" t="n">
        <f aca="false">C19*L19</f>
        <v>0</v>
      </c>
      <c r="N19" s="31" t="n">
        <v>0</v>
      </c>
      <c r="O19" s="32" t="n">
        <f aca="false">C19*N19</f>
        <v>0</v>
      </c>
      <c r="P19" s="31" t="n">
        <v>0</v>
      </c>
      <c r="Q19" s="32" t="n">
        <f aca="false">C19*P19</f>
        <v>0</v>
      </c>
      <c r="R19" s="31" t="n">
        <v>0</v>
      </c>
      <c r="S19" s="32" t="n">
        <f aca="false">C19*R19</f>
        <v>0</v>
      </c>
      <c r="T19" s="31" t="n">
        <v>0</v>
      </c>
      <c r="U19" s="32" t="n">
        <f aca="false">C19*T19</f>
        <v>0</v>
      </c>
      <c r="V19" s="31" t="n">
        <v>0</v>
      </c>
      <c r="W19" s="32" t="n">
        <f aca="false">C19*V19</f>
        <v>0</v>
      </c>
      <c r="X19" s="31" t="n">
        <v>0</v>
      </c>
      <c r="Y19" s="32" t="n">
        <f aca="false">C19*X19</f>
        <v>0</v>
      </c>
      <c r="Z19" s="31" t="n">
        <v>0</v>
      </c>
      <c r="AA19" s="32" t="n">
        <f aca="false">C19*Z19</f>
        <v>0</v>
      </c>
      <c r="AB19" s="31" t="n">
        <v>0</v>
      </c>
      <c r="AC19" s="32" t="n">
        <f aca="false">C19*AB19</f>
        <v>0</v>
      </c>
      <c r="AD19" s="12" t="n">
        <f aca="false">E19+G19+I19+K19+M19+O19+Q19+S19+U19+W19+Y19+AA19+AC19-C19</f>
        <v>0</v>
      </c>
    </row>
    <row r="20" customFormat="false" ht="15" hidden="false" customHeight="true" outlineLevel="0" collapsed="false">
      <c r="A20" s="29"/>
      <c r="B20" s="30" t="s">
        <v>64</v>
      </c>
      <c r="C20" s="12" t="n">
        <f aca="false">'Inversión Inicial'!C23+'Inversión Inicial'!E23+'Inversión Inicial'!G23</f>
        <v>210.72</v>
      </c>
      <c r="D20" s="31" t="n">
        <v>0</v>
      </c>
      <c r="E20" s="32" t="n">
        <f aca="false">(C20*D20)</f>
        <v>0</v>
      </c>
      <c r="F20" s="31" t="n">
        <v>0</v>
      </c>
      <c r="G20" s="32" t="n">
        <f aca="false">C20*F20</f>
        <v>0</v>
      </c>
      <c r="H20" s="31" t="n">
        <v>0</v>
      </c>
      <c r="I20" s="32" t="n">
        <f aca="false">C20*H20</f>
        <v>0</v>
      </c>
      <c r="J20" s="31" t="n">
        <v>0</v>
      </c>
      <c r="K20" s="32" t="n">
        <f aca="false">C20*J20</f>
        <v>0</v>
      </c>
      <c r="L20" s="31" t="n">
        <v>0</v>
      </c>
      <c r="M20" s="32" t="n">
        <f aca="false">C20*L20</f>
        <v>0</v>
      </c>
      <c r="N20" s="31" t="n">
        <v>0</v>
      </c>
      <c r="O20" s="32" t="n">
        <f aca="false">C20*N20</f>
        <v>0</v>
      </c>
      <c r="P20" s="31" t="n">
        <v>0</v>
      </c>
      <c r="Q20" s="32" t="n">
        <f aca="false">C20*P20</f>
        <v>0</v>
      </c>
      <c r="R20" s="31" t="n">
        <v>0</v>
      </c>
      <c r="S20" s="32" t="n">
        <f aca="false">C20*R20</f>
        <v>0</v>
      </c>
      <c r="T20" s="31" t="n">
        <v>0</v>
      </c>
      <c r="U20" s="32" t="n">
        <f aca="false">C20*T20</f>
        <v>0</v>
      </c>
      <c r="V20" s="31" t="n">
        <v>0</v>
      </c>
      <c r="W20" s="32" t="n">
        <f aca="false">C20*V20</f>
        <v>0</v>
      </c>
      <c r="X20" s="31" t="n">
        <v>0</v>
      </c>
      <c r="Y20" s="32" t="n">
        <f aca="false">C20*X20</f>
        <v>0</v>
      </c>
      <c r="Z20" s="31" t="n">
        <v>0</v>
      </c>
      <c r="AA20" s="32" t="n">
        <f aca="false">C20*Z20</f>
        <v>0</v>
      </c>
      <c r="AB20" s="31" t="n">
        <v>0</v>
      </c>
      <c r="AC20" s="32" t="n">
        <f aca="false">C20*AB20</f>
        <v>0</v>
      </c>
      <c r="AD20" s="12" t="n">
        <f aca="false">E20+G20+I20+K20+M20+O20+Q20+S20+U20+W20+Y20+AA20+AC20-C20</f>
        <v>-210.72</v>
      </c>
    </row>
    <row r="21" customFormat="false" ht="15.75" hidden="false" customHeight="true" outlineLevel="0" collapsed="false">
      <c r="A21" s="29"/>
      <c r="B21" s="30" t="s">
        <v>65</v>
      </c>
      <c r="C21" s="12" t="n">
        <f aca="false">'Inversión Inicial'!C24+'Inversión Inicial'!D24+'Inversión Inicial'!E24+'Inversión Inicial'!G24</f>
        <v>6050</v>
      </c>
      <c r="D21" s="31" t="n">
        <v>0</v>
      </c>
      <c r="E21" s="32" t="n">
        <f aca="false">(C21*D21)</f>
        <v>0</v>
      </c>
      <c r="F21" s="31" t="n">
        <v>0</v>
      </c>
      <c r="G21" s="32" t="n">
        <f aca="false">C21*F21</f>
        <v>0</v>
      </c>
      <c r="H21" s="31" t="n">
        <v>0</v>
      </c>
      <c r="I21" s="32" t="n">
        <f aca="false">C21*H21</f>
        <v>0</v>
      </c>
      <c r="J21" s="31" t="n">
        <v>0</v>
      </c>
      <c r="K21" s="32" t="n">
        <f aca="false">C21*J21</f>
        <v>0</v>
      </c>
      <c r="L21" s="31" t="n">
        <v>0</v>
      </c>
      <c r="M21" s="32" t="n">
        <f aca="false">C21*L21</f>
        <v>0</v>
      </c>
      <c r="N21" s="31" t="n">
        <v>0</v>
      </c>
      <c r="O21" s="32" t="n">
        <f aca="false">C21*N21</f>
        <v>0</v>
      </c>
      <c r="P21" s="31" t="n">
        <v>0</v>
      </c>
      <c r="Q21" s="32" t="n">
        <f aca="false">C21*P21</f>
        <v>0</v>
      </c>
      <c r="R21" s="31" t="n">
        <v>0</v>
      </c>
      <c r="S21" s="32" t="n">
        <f aca="false">C21*R21</f>
        <v>0</v>
      </c>
      <c r="T21" s="31" t="n">
        <v>0</v>
      </c>
      <c r="U21" s="32" t="n">
        <f aca="false">C21*T21</f>
        <v>0</v>
      </c>
      <c r="V21" s="31" t="n">
        <v>0</v>
      </c>
      <c r="W21" s="32" t="n">
        <f aca="false">C21*V21</f>
        <v>0</v>
      </c>
      <c r="X21" s="31" t="n">
        <v>0</v>
      </c>
      <c r="Y21" s="32" t="n">
        <f aca="false">C21*X21</f>
        <v>0</v>
      </c>
      <c r="Z21" s="31" t="n">
        <v>0</v>
      </c>
      <c r="AA21" s="32" t="n">
        <f aca="false">C21*Z21</f>
        <v>0</v>
      </c>
      <c r="AB21" s="31" t="n">
        <v>0</v>
      </c>
      <c r="AC21" s="32" t="n">
        <f aca="false">C21*AB21</f>
        <v>0</v>
      </c>
      <c r="AD21" s="12" t="n">
        <f aca="false">E21+G21+I21+K21+M21+O21+Q21+S21+U21+W21+Y21+AA21+AC21-C21</f>
        <v>-6050</v>
      </c>
    </row>
    <row r="22" customFormat="false" ht="15.75" hidden="false" customHeight="true" outlineLevel="0" collapsed="false">
      <c r="A22" s="29"/>
      <c r="B22" s="30" t="s">
        <v>40</v>
      </c>
      <c r="C22" s="12" t="n">
        <f aca="false">'Inversión Inicial'!C25+'Inversión Inicial'!E25</f>
        <v>0</v>
      </c>
      <c r="D22" s="31" t="n">
        <v>0</v>
      </c>
      <c r="E22" s="32" t="n">
        <f aca="false">(C22*D22)</f>
        <v>0</v>
      </c>
      <c r="F22" s="31" t="n">
        <v>0</v>
      </c>
      <c r="G22" s="32" t="n">
        <f aca="false">C22*F22</f>
        <v>0</v>
      </c>
      <c r="H22" s="31" t="n">
        <v>0</v>
      </c>
      <c r="I22" s="32" t="n">
        <f aca="false">C22*H22</f>
        <v>0</v>
      </c>
      <c r="J22" s="31" t="n">
        <v>0</v>
      </c>
      <c r="K22" s="32" t="n">
        <f aca="false">C22*J22</f>
        <v>0</v>
      </c>
      <c r="L22" s="31" t="n">
        <v>0</v>
      </c>
      <c r="M22" s="32" t="n">
        <f aca="false">C22*L22</f>
        <v>0</v>
      </c>
      <c r="N22" s="31" t="n">
        <v>0</v>
      </c>
      <c r="O22" s="32" t="n">
        <f aca="false">C22*N22</f>
        <v>0</v>
      </c>
      <c r="P22" s="31" t="n">
        <v>0</v>
      </c>
      <c r="Q22" s="32" t="n">
        <f aca="false">C22*P22</f>
        <v>0</v>
      </c>
      <c r="R22" s="31" t="n">
        <v>0</v>
      </c>
      <c r="S22" s="32" t="n">
        <f aca="false">C22*R22</f>
        <v>0</v>
      </c>
      <c r="T22" s="31" t="n">
        <v>0</v>
      </c>
      <c r="U22" s="32" t="n">
        <f aca="false">C22*T22</f>
        <v>0</v>
      </c>
      <c r="V22" s="31" t="n">
        <v>0</v>
      </c>
      <c r="W22" s="32" t="n">
        <f aca="false">C22*V22</f>
        <v>0</v>
      </c>
      <c r="X22" s="31" t="n">
        <v>0</v>
      </c>
      <c r="Y22" s="32" t="n">
        <f aca="false">C22*X22</f>
        <v>0</v>
      </c>
      <c r="Z22" s="31" t="n">
        <v>0</v>
      </c>
      <c r="AA22" s="32" t="n">
        <f aca="false">C22*Z22</f>
        <v>0</v>
      </c>
      <c r="AB22" s="31" t="n">
        <v>0</v>
      </c>
      <c r="AC22" s="32" t="n">
        <f aca="false">C22*AB22</f>
        <v>0</v>
      </c>
      <c r="AD22" s="12" t="n">
        <f aca="false">E22+G22+I22+K22+M22+O22+Q22+S22+U22+W22+Y22+AA22+AC22-C22</f>
        <v>0</v>
      </c>
    </row>
    <row r="23" customFormat="false" ht="44.25" hidden="false" customHeight="true" outlineLevel="0" collapsed="false">
      <c r="A23" s="29"/>
      <c r="B23" s="30" t="s">
        <v>43</v>
      </c>
      <c r="C23" s="12" t="n">
        <f aca="false">'Inversión Inicial'!C28+'Inversión Inicial'!D28+'Inversión Inicial'!E28+'Inversión Inicial'!G28</f>
        <v>0</v>
      </c>
      <c r="D23" s="31" t="n">
        <v>0</v>
      </c>
      <c r="E23" s="32" t="n">
        <f aca="false">(C23*D23)</f>
        <v>0</v>
      </c>
      <c r="F23" s="31" t="n">
        <v>0</v>
      </c>
      <c r="G23" s="32" t="n">
        <f aca="false">C23*F23</f>
        <v>0</v>
      </c>
      <c r="H23" s="31" t="n">
        <v>0</v>
      </c>
      <c r="I23" s="32" t="n">
        <f aca="false">C23*H23</f>
        <v>0</v>
      </c>
      <c r="J23" s="31" t="n">
        <v>0</v>
      </c>
      <c r="K23" s="32" t="n">
        <f aca="false">C23*J23</f>
        <v>0</v>
      </c>
      <c r="L23" s="31" t="n">
        <v>0</v>
      </c>
      <c r="M23" s="32" t="n">
        <f aca="false">C23*L23</f>
        <v>0</v>
      </c>
      <c r="N23" s="31" t="n">
        <v>0</v>
      </c>
      <c r="O23" s="32" t="n">
        <f aca="false">C23*N23</f>
        <v>0</v>
      </c>
      <c r="P23" s="31" t="n">
        <v>0</v>
      </c>
      <c r="Q23" s="32" t="n">
        <f aca="false">C23*P23</f>
        <v>0</v>
      </c>
      <c r="R23" s="31" t="n">
        <v>0</v>
      </c>
      <c r="S23" s="32" t="n">
        <f aca="false">C23*R23</f>
        <v>0</v>
      </c>
      <c r="T23" s="31" t="n">
        <v>0</v>
      </c>
      <c r="U23" s="32" t="n">
        <f aca="false">C23*T23</f>
        <v>0</v>
      </c>
      <c r="V23" s="31" t="n">
        <v>0</v>
      </c>
      <c r="W23" s="32" t="n">
        <f aca="false">C23*V23</f>
        <v>0</v>
      </c>
      <c r="X23" s="31" t="n">
        <v>0</v>
      </c>
      <c r="Y23" s="32" t="n">
        <f aca="false">C23*X23</f>
        <v>0</v>
      </c>
      <c r="Z23" s="31" t="n">
        <v>0</v>
      </c>
      <c r="AA23" s="32" t="n">
        <f aca="false">C23*Z23</f>
        <v>0</v>
      </c>
      <c r="AB23" s="31" t="n">
        <v>0</v>
      </c>
      <c r="AC23" s="32" t="n">
        <f aca="false">C23*AB23</f>
        <v>0</v>
      </c>
      <c r="AD23" s="12" t="n">
        <f aca="false">E23+G23+I23+K23+M23+O23+Q23+S23+U23+W23+Y23+AA23+AC23-C23</f>
        <v>0</v>
      </c>
    </row>
    <row r="24" customFormat="false" ht="15.75" hidden="false" customHeight="true" outlineLevel="0" collapsed="false">
      <c r="A24" s="29"/>
      <c r="B24" s="30" t="s">
        <v>29</v>
      </c>
      <c r="C24" s="12" t="n">
        <f aca="false">'Inversión Inicial'!C16+'Inversión Inicial'!D16+'Inversión Inicial'!E16+'Inversión Inicial'!G16</f>
        <v>0</v>
      </c>
      <c r="D24" s="31" t="n">
        <v>0</v>
      </c>
      <c r="E24" s="32" t="n">
        <f aca="false">(C24*D24)</f>
        <v>0</v>
      </c>
      <c r="F24" s="31" t="n">
        <v>0</v>
      </c>
      <c r="G24" s="32" t="n">
        <f aca="false">C24*F24</f>
        <v>0</v>
      </c>
      <c r="H24" s="31" t="n">
        <v>0</v>
      </c>
      <c r="I24" s="32" t="n">
        <f aca="false">C24*H24</f>
        <v>0</v>
      </c>
      <c r="J24" s="31" t="n">
        <v>0</v>
      </c>
      <c r="K24" s="32" t="n">
        <f aca="false">C24*J24</f>
        <v>0</v>
      </c>
      <c r="L24" s="31" t="n">
        <v>0</v>
      </c>
      <c r="M24" s="32" t="n">
        <f aca="false">C24*L24</f>
        <v>0</v>
      </c>
      <c r="N24" s="31" t="n">
        <v>0</v>
      </c>
      <c r="O24" s="32" t="n">
        <f aca="false">C24*N24</f>
        <v>0</v>
      </c>
      <c r="P24" s="31" t="n">
        <v>0</v>
      </c>
      <c r="Q24" s="32" t="n">
        <f aca="false">C24*P24</f>
        <v>0</v>
      </c>
      <c r="R24" s="31" t="n">
        <v>0</v>
      </c>
      <c r="S24" s="32" t="n">
        <f aca="false">C24*R24</f>
        <v>0</v>
      </c>
      <c r="T24" s="31" t="n">
        <v>0</v>
      </c>
      <c r="U24" s="32" t="n">
        <f aca="false">C24*T24</f>
        <v>0</v>
      </c>
      <c r="V24" s="31" t="n">
        <v>0</v>
      </c>
      <c r="W24" s="32" t="n">
        <f aca="false">C24*V24</f>
        <v>0</v>
      </c>
      <c r="X24" s="31" t="n">
        <v>0</v>
      </c>
      <c r="Y24" s="32" t="n">
        <f aca="false">C24*X24</f>
        <v>0</v>
      </c>
      <c r="Z24" s="31" t="n">
        <v>0</v>
      </c>
      <c r="AA24" s="32" t="n">
        <f aca="false">C24*Z24</f>
        <v>0</v>
      </c>
      <c r="AB24" s="31" t="n">
        <v>0</v>
      </c>
      <c r="AC24" s="32" t="n">
        <f aca="false">C24*AB24</f>
        <v>0</v>
      </c>
      <c r="AD24" s="12" t="n">
        <f aca="false">E24+G24+I24+K24+M24+O24+Q24+S24+U24+W24+Y24+AA24+AC24-C24</f>
        <v>0</v>
      </c>
    </row>
    <row r="25" customFormat="false" ht="15.75" hidden="false" customHeight="true" outlineLevel="0" collapsed="false">
      <c r="B25" s="20" t="s">
        <v>9</v>
      </c>
      <c r="C25" s="21" t="n">
        <f aca="false">SUM(C6:C24)</f>
        <v>111833.22</v>
      </c>
      <c r="D25" s="33"/>
      <c r="E25" s="21" t="n">
        <f aca="false">SUM(E6:E24)</f>
        <v>0</v>
      </c>
      <c r="F25" s="33"/>
      <c r="G25" s="21" t="n">
        <f aca="false">SUM(G6:G24)</f>
        <v>0</v>
      </c>
      <c r="H25" s="33"/>
      <c r="I25" s="21" t="n">
        <f aca="false">SUM(I6:I24)</f>
        <v>0</v>
      </c>
      <c r="J25" s="34"/>
      <c r="K25" s="21" t="n">
        <f aca="false">SUM(K6:K24)</f>
        <v>0</v>
      </c>
      <c r="L25" s="33"/>
      <c r="M25" s="21" t="n">
        <f aca="false">SUM(M6:M24)</f>
        <v>0</v>
      </c>
      <c r="N25" s="35"/>
      <c r="O25" s="21" t="n">
        <f aca="false">SUM(O6:O24)</f>
        <v>0</v>
      </c>
      <c r="P25" s="33"/>
      <c r="Q25" s="21" t="n">
        <f aca="false">SUM(Q6:Q24)</f>
        <v>0</v>
      </c>
      <c r="R25" s="33"/>
      <c r="S25" s="21" t="n">
        <f aca="false">SUM(S6:S24)</f>
        <v>0</v>
      </c>
      <c r="T25" s="34"/>
      <c r="U25" s="21" t="n">
        <f aca="false">SUM(U6:U24)</f>
        <v>0</v>
      </c>
      <c r="V25" s="33"/>
      <c r="W25" s="21" t="n">
        <f aca="false">SUM(W6:W24)</f>
        <v>0</v>
      </c>
      <c r="X25" s="34"/>
      <c r="Y25" s="21" t="n">
        <f aca="false">SUM(Y6:Y24)</f>
        <v>0</v>
      </c>
      <c r="Z25" s="33"/>
      <c r="AA25" s="21" t="n">
        <f aca="false">SUM(AA6:AA24)</f>
        <v>0</v>
      </c>
      <c r="AB25" s="33"/>
      <c r="AC25" s="21" t="n">
        <f aca="false">SUM(AC6:AC24)</f>
        <v>0</v>
      </c>
      <c r="AD25" s="12" t="n">
        <f aca="false">E25+G25+I25+K25+M25+O25+Q25+S25+U25+W25+Y25+AA25+AC25-C25</f>
        <v>-111833.22</v>
      </c>
    </row>
    <row r="26" customFormat="false" ht="15.75" hidden="false" customHeight="true" outlineLevel="0" collapsed="false">
      <c r="C26" s="24"/>
      <c r="E26" s="36"/>
    </row>
    <row r="27" customFormat="false" ht="15.75" hidden="false" customHeight="true" outlineLevel="0" collapsed="false">
      <c r="B27" s="37" t="s">
        <v>66</v>
      </c>
      <c r="C27" s="38"/>
      <c r="D27" s="39"/>
    </row>
    <row r="28" customFormat="false" ht="15.75" hidden="false" customHeight="true" outlineLevel="0" collapsed="false">
      <c r="B28" s="40"/>
      <c r="C28" s="24"/>
      <c r="I28" s="36"/>
    </row>
    <row r="29" customFormat="false" ht="15.75" hidden="false" customHeight="true" outlineLevel="0" collapsed="false">
      <c r="B29" s="40"/>
      <c r="C29" s="24"/>
    </row>
    <row r="30" customFormat="false" ht="15.75" hidden="false" customHeight="true" outlineLevel="0" collapsed="false">
      <c r="C30" s="24"/>
    </row>
    <row r="31" customFormat="false" ht="15.75" hidden="false" customHeight="true" outlineLevel="0" collapsed="false">
      <c r="C31" s="24"/>
    </row>
    <row r="32" customFormat="false" ht="15.75" hidden="false" customHeight="true" outlineLevel="0" collapsed="false">
      <c r="C32" s="24"/>
    </row>
    <row r="33" customFormat="false" ht="15.75" hidden="false" customHeight="true" outlineLevel="0" collapsed="false">
      <c r="C33" s="24"/>
    </row>
    <row r="34" customFormat="false" ht="15.75" hidden="false" customHeight="true" outlineLevel="0" collapsed="false">
      <c r="C34" s="24"/>
    </row>
    <row r="35" customFormat="false" ht="15.75" hidden="false" customHeight="true" outlineLevel="0" collapsed="false">
      <c r="C35" s="24"/>
    </row>
    <row r="36" customFormat="false" ht="15.75" hidden="false" customHeight="true" outlineLevel="0" collapsed="false">
      <c r="C36" s="24"/>
    </row>
    <row r="37" customFormat="false" ht="15.75" hidden="false" customHeight="true" outlineLevel="0" collapsed="false">
      <c r="C37" s="24"/>
    </row>
    <row r="38" customFormat="false" ht="15.75" hidden="false" customHeight="true" outlineLevel="0" collapsed="false">
      <c r="C38" s="24"/>
    </row>
    <row r="39" customFormat="false" ht="15.75" hidden="false" customHeight="true" outlineLevel="0" collapsed="false">
      <c r="C39" s="24"/>
    </row>
    <row r="40" customFormat="false" ht="15.75" hidden="false" customHeight="true" outlineLevel="0" collapsed="false">
      <c r="C40" s="24"/>
    </row>
    <row r="41" customFormat="false" ht="15.75" hidden="false" customHeight="true" outlineLevel="0" collapsed="false">
      <c r="C41" s="24"/>
    </row>
    <row r="42" customFormat="false" ht="15.75" hidden="false" customHeight="true" outlineLevel="0" collapsed="false">
      <c r="C42" s="24"/>
    </row>
    <row r="43" customFormat="false" ht="15.75" hidden="false" customHeight="true" outlineLevel="0" collapsed="false">
      <c r="C43" s="24"/>
    </row>
    <row r="44" customFormat="false" ht="15.75" hidden="false" customHeight="true" outlineLevel="0" collapsed="false">
      <c r="C44" s="24"/>
    </row>
    <row r="45" customFormat="false" ht="15.75" hidden="false" customHeight="true" outlineLevel="0" collapsed="false">
      <c r="C45" s="24"/>
    </row>
    <row r="46" customFormat="false" ht="15.75" hidden="false" customHeight="true" outlineLevel="0" collapsed="false">
      <c r="C46" s="24"/>
    </row>
    <row r="47" customFormat="false" ht="15.75" hidden="false" customHeight="true" outlineLevel="0" collapsed="false">
      <c r="C47" s="24"/>
    </row>
    <row r="48" customFormat="false" ht="15.75" hidden="false" customHeight="true" outlineLevel="0" collapsed="false">
      <c r="C48" s="24"/>
    </row>
    <row r="49" customFormat="false" ht="15.75" hidden="false" customHeight="true" outlineLevel="0" collapsed="false">
      <c r="C49" s="24"/>
    </row>
    <row r="50" customFormat="false" ht="15.75" hidden="false" customHeight="true" outlineLevel="0" collapsed="false">
      <c r="C50" s="24"/>
    </row>
    <row r="51" customFormat="false" ht="15.75" hidden="false" customHeight="true" outlineLevel="0" collapsed="false">
      <c r="C51" s="24"/>
    </row>
    <row r="52" customFormat="false" ht="15.75" hidden="false" customHeight="true" outlineLevel="0" collapsed="false">
      <c r="C52" s="24"/>
    </row>
    <row r="53" customFormat="false" ht="15.75" hidden="false" customHeight="true" outlineLevel="0" collapsed="false">
      <c r="C53" s="24"/>
    </row>
    <row r="54" customFormat="false" ht="15.75" hidden="false" customHeight="true" outlineLevel="0" collapsed="false">
      <c r="C54" s="24"/>
    </row>
    <row r="55" customFormat="false" ht="15.75" hidden="false" customHeight="true" outlineLevel="0" collapsed="false">
      <c r="C55" s="24"/>
    </row>
    <row r="56" customFormat="false" ht="15.75" hidden="false" customHeight="true" outlineLevel="0" collapsed="false">
      <c r="C56" s="24"/>
    </row>
    <row r="57" customFormat="false" ht="15.75" hidden="false" customHeight="true" outlineLevel="0" collapsed="false">
      <c r="C57" s="24"/>
    </row>
    <row r="58" customFormat="false" ht="15.75" hidden="false" customHeight="true" outlineLevel="0" collapsed="false">
      <c r="C58" s="24"/>
    </row>
    <row r="59" customFormat="false" ht="15.75" hidden="false" customHeight="true" outlineLevel="0" collapsed="false">
      <c r="C59" s="24"/>
    </row>
    <row r="60" customFormat="false" ht="15.75" hidden="false" customHeight="true" outlineLevel="0" collapsed="false">
      <c r="C60" s="24"/>
    </row>
    <row r="61" customFormat="false" ht="15.75" hidden="false" customHeight="true" outlineLevel="0" collapsed="false">
      <c r="C61" s="24"/>
    </row>
    <row r="62" customFormat="false" ht="15.75" hidden="false" customHeight="true" outlineLevel="0" collapsed="false">
      <c r="C62" s="24"/>
    </row>
    <row r="63" customFormat="false" ht="15.75" hidden="false" customHeight="true" outlineLevel="0" collapsed="false">
      <c r="C63" s="24"/>
    </row>
    <row r="64" customFormat="false" ht="15.75" hidden="false" customHeight="true" outlineLevel="0" collapsed="false">
      <c r="C64" s="24"/>
    </row>
    <row r="65" customFormat="false" ht="15.75" hidden="false" customHeight="true" outlineLevel="0" collapsed="false">
      <c r="C65" s="24"/>
    </row>
    <row r="66" customFormat="false" ht="15.75" hidden="false" customHeight="true" outlineLevel="0" collapsed="false">
      <c r="C66" s="24"/>
    </row>
    <row r="67" customFormat="false" ht="15.75" hidden="false" customHeight="true" outlineLevel="0" collapsed="false">
      <c r="C67" s="24"/>
    </row>
    <row r="68" customFormat="false" ht="15.75" hidden="false" customHeight="true" outlineLevel="0" collapsed="false">
      <c r="C68" s="24"/>
    </row>
    <row r="69" customFormat="false" ht="15.75" hidden="false" customHeight="true" outlineLevel="0" collapsed="false">
      <c r="C69" s="24"/>
    </row>
    <row r="70" customFormat="false" ht="15.75" hidden="false" customHeight="true" outlineLevel="0" collapsed="false">
      <c r="C70" s="24"/>
    </row>
    <row r="71" customFormat="false" ht="15.75" hidden="false" customHeight="true" outlineLevel="0" collapsed="false">
      <c r="C71" s="24"/>
    </row>
    <row r="72" customFormat="false" ht="15.75" hidden="false" customHeight="true" outlineLevel="0" collapsed="false">
      <c r="C72" s="24"/>
    </row>
    <row r="73" customFormat="false" ht="15.75" hidden="false" customHeight="true" outlineLevel="0" collapsed="false">
      <c r="C73" s="24"/>
    </row>
    <row r="74" customFormat="false" ht="15.75" hidden="false" customHeight="true" outlineLevel="0" collapsed="false">
      <c r="C74" s="24"/>
    </row>
    <row r="75" customFormat="false" ht="15.75" hidden="false" customHeight="true" outlineLevel="0" collapsed="false">
      <c r="C75" s="24"/>
    </row>
    <row r="76" customFormat="false" ht="15.75" hidden="false" customHeight="true" outlineLevel="0" collapsed="false">
      <c r="C76" s="24"/>
    </row>
    <row r="77" customFormat="false" ht="15.75" hidden="false" customHeight="true" outlineLevel="0" collapsed="false">
      <c r="C77" s="24"/>
    </row>
    <row r="78" customFormat="false" ht="15.75" hidden="false" customHeight="true" outlineLevel="0" collapsed="false">
      <c r="C78" s="24"/>
    </row>
    <row r="79" customFormat="false" ht="15.75" hidden="false" customHeight="true" outlineLevel="0" collapsed="false">
      <c r="C79" s="24"/>
    </row>
    <row r="80" customFormat="false" ht="15.75" hidden="false" customHeight="true" outlineLevel="0" collapsed="false">
      <c r="C80" s="24"/>
    </row>
    <row r="81" customFormat="false" ht="15.75" hidden="false" customHeight="true" outlineLevel="0" collapsed="false">
      <c r="C81" s="24"/>
    </row>
    <row r="82" customFormat="false" ht="15.75" hidden="false" customHeight="true" outlineLevel="0" collapsed="false">
      <c r="C82" s="24"/>
    </row>
    <row r="83" customFormat="false" ht="15.75" hidden="false" customHeight="true" outlineLevel="0" collapsed="false">
      <c r="C83" s="24"/>
    </row>
    <row r="84" customFormat="false" ht="15.75" hidden="false" customHeight="true" outlineLevel="0" collapsed="false">
      <c r="C84" s="24"/>
    </row>
    <row r="85" customFormat="false" ht="15.75" hidden="false" customHeight="true" outlineLevel="0" collapsed="false">
      <c r="C85" s="24"/>
    </row>
    <row r="86" customFormat="false" ht="15.75" hidden="false" customHeight="true" outlineLevel="0" collapsed="false">
      <c r="C86" s="24"/>
    </row>
    <row r="87" customFormat="false" ht="15.75" hidden="false" customHeight="true" outlineLevel="0" collapsed="false">
      <c r="C87" s="24"/>
    </row>
    <row r="88" customFormat="false" ht="15.75" hidden="false" customHeight="true" outlineLevel="0" collapsed="false">
      <c r="C88" s="24"/>
    </row>
    <row r="89" customFormat="false" ht="15.75" hidden="false" customHeight="true" outlineLevel="0" collapsed="false">
      <c r="C89" s="24"/>
    </row>
    <row r="90" customFormat="false" ht="15.75" hidden="false" customHeight="true" outlineLevel="0" collapsed="false">
      <c r="C90" s="24"/>
    </row>
    <row r="91" customFormat="false" ht="15.75" hidden="false" customHeight="true" outlineLevel="0" collapsed="false">
      <c r="C91" s="24"/>
    </row>
    <row r="92" customFormat="false" ht="15.75" hidden="false" customHeight="true" outlineLevel="0" collapsed="false">
      <c r="C92" s="24"/>
    </row>
    <row r="93" customFormat="false" ht="15.75" hidden="false" customHeight="true" outlineLevel="0" collapsed="false">
      <c r="C93" s="24"/>
    </row>
    <row r="94" customFormat="false" ht="15.75" hidden="false" customHeight="true" outlineLevel="0" collapsed="false">
      <c r="C94" s="24"/>
    </row>
    <row r="95" customFormat="false" ht="15.75" hidden="false" customHeight="true" outlineLevel="0" collapsed="false">
      <c r="C95" s="24"/>
    </row>
    <row r="96" customFormat="false" ht="15.75" hidden="false" customHeight="true" outlineLevel="0" collapsed="false">
      <c r="C96" s="24"/>
    </row>
    <row r="97" customFormat="false" ht="15.75" hidden="false" customHeight="true" outlineLevel="0" collapsed="false">
      <c r="C97" s="24"/>
    </row>
    <row r="98" customFormat="false" ht="15.75" hidden="false" customHeight="true" outlineLevel="0" collapsed="false">
      <c r="C98" s="24"/>
    </row>
    <row r="99" customFormat="false" ht="15.75" hidden="false" customHeight="true" outlineLevel="0" collapsed="false">
      <c r="C99" s="24"/>
    </row>
    <row r="100" customFormat="false" ht="15.75" hidden="false" customHeight="true" outlineLevel="0" collapsed="false">
      <c r="C100" s="24"/>
    </row>
    <row r="101" customFormat="false" ht="15.75" hidden="false" customHeight="true" outlineLevel="0" collapsed="false">
      <c r="C101" s="24"/>
    </row>
    <row r="102" customFormat="false" ht="15.75" hidden="false" customHeight="true" outlineLevel="0" collapsed="false">
      <c r="C102" s="24"/>
    </row>
    <row r="103" customFormat="false" ht="15.75" hidden="false" customHeight="true" outlineLevel="0" collapsed="false">
      <c r="C103" s="24"/>
    </row>
    <row r="104" customFormat="false" ht="15.75" hidden="false" customHeight="true" outlineLevel="0" collapsed="false">
      <c r="C104" s="24"/>
    </row>
    <row r="105" customFormat="false" ht="15.75" hidden="false" customHeight="true" outlineLevel="0" collapsed="false">
      <c r="C105" s="24"/>
    </row>
    <row r="106" customFormat="false" ht="15.75" hidden="false" customHeight="true" outlineLevel="0" collapsed="false">
      <c r="C106" s="24"/>
    </row>
    <row r="107" customFormat="false" ht="15.75" hidden="false" customHeight="true" outlineLevel="0" collapsed="false">
      <c r="C107" s="24"/>
    </row>
    <row r="108" customFormat="false" ht="15.75" hidden="false" customHeight="true" outlineLevel="0" collapsed="false">
      <c r="C108" s="24"/>
    </row>
    <row r="109" customFormat="false" ht="15.75" hidden="false" customHeight="true" outlineLevel="0" collapsed="false">
      <c r="C109" s="24"/>
    </row>
    <row r="110" customFormat="false" ht="15.75" hidden="false" customHeight="true" outlineLevel="0" collapsed="false">
      <c r="C110" s="24"/>
    </row>
    <row r="111" customFormat="false" ht="15.75" hidden="false" customHeight="true" outlineLevel="0" collapsed="false">
      <c r="C111" s="24"/>
    </row>
    <row r="112" customFormat="false" ht="15.75" hidden="false" customHeight="true" outlineLevel="0" collapsed="false">
      <c r="C112" s="24"/>
    </row>
    <row r="113" customFormat="false" ht="15.75" hidden="false" customHeight="true" outlineLevel="0" collapsed="false">
      <c r="C113" s="24"/>
    </row>
    <row r="114" customFormat="false" ht="15.75" hidden="false" customHeight="true" outlineLevel="0" collapsed="false">
      <c r="C114" s="24"/>
    </row>
    <row r="115" customFormat="false" ht="15.75" hidden="false" customHeight="true" outlineLevel="0" collapsed="false">
      <c r="C115" s="24"/>
    </row>
    <row r="116" customFormat="false" ht="15.75" hidden="false" customHeight="true" outlineLevel="0" collapsed="false">
      <c r="C116" s="24"/>
    </row>
    <row r="117" customFormat="false" ht="15.75" hidden="false" customHeight="true" outlineLevel="0" collapsed="false">
      <c r="C117" s="24"/>
    </row>
    <row r="118" customFormat="false" ht="15.75" hidden="false" customHeight="true" outlineLevel="0" collapsed="false">
      <c r="C118" s="24"/>
    </row>
    <row r="119" customFormat="false" ht="15.75" hidden="false" customHeight="true" outlineLevel="0" collapsed="false">
      <c r="C119" s="24"/>
    </row>
    <row r="120" customFormat="false" ht="15.75" hidden="false" customHeight="true" outlineLevel="0" collapsed="false">
      <c r="C120" s="24"/>
    </row>
    <row r="121" customFormat="false" ht="15.75" hidden="false" customHeight="true" outlineLevel="0" collapsed="false">
      <c r="C121" s="24"/>
    </row>
    <row r="122" customFormat="false" ht="15.75" hidden="false" customHeight="true" outlineLevel="0" collapsed="false">
      <c r="C122" s="24"/>
    </row>
    <row r="123" customFormat="false" ht="15.75" hidden="false" customHeight="true" outlineLevel="0" collapsed="false">
      <c r="C123" s="24"/>
    </row>
    <row r="124" customFormat="false" ht="15.75" hidden="false" customHeight="true" outlineLevel="0" collapsed="false">
      <c r="C124" s="24"/>
    </row>
    <row r="125" customFormat="false" ht="15.75" hidden="false" customHeight="true" outlineLevel="0" collapsed="false">
      <c r="C125" s="24"/>
    </row>
    <row r="126" customFormat="false" ht="15.75" hidden="false" customHeight="true" outlineLevel="0" collapsed="false">
      <c r="C126" s="24"/>
    </row>
    <row r="127" customFormat="false" ht="15.75" hidden="false" customHeight="true" outlineLevel="0" collapsed="false">
      <c r="C127" s="24"/>
    </row>
    <row r="128" customFormat="false" ht="15.75" hidden="false" customHeight="true" outlineLevel="0" collapsed="false">
      <c r="C128" s="24"/>
    </row>
    <row r="129" customFormat="false" ht="15.75" hidden="false" customHeight="true" outlineLevel="0" collapsed="false">
      <c r="C129" s="24"/>
    </row>
    <row r="130" customFormat="false" ht="15.75" hidden="false" customHeight="true" outlineLevel="0" collapsed="false">
      <c r="C130" s="24"/>
    </row>
    <row r="131" customFormat="false" ht="15.75" hidden="false" customHeight="true" outlineLevel="0" collapsed="false">
      <c r="C131" s="24"/>
    </row>
    <row r="132" customFormat="false" ht="15.75" hidden="false" customHeight="true" outlineLevel="0" collapsed="false">
      <c r="C132" s="24"/>
    </row>
    <row r="133" customFormat="false" ht="15.75" hidden="false" customHeight="true" outlineLevel="0" collapsed="false">
      <c r="C133" s="24"/>
    </row>
    <row r="134" customFormat="false" ht="15.75" hidden="false" customHeight="true" outlineLevel="0" collapsed="false">
      <c r="C134" s="24"/>
    </row>
    <row r="135" customFormat="false" ht="15.75" hidden="false" customHeight="true" outlineLevel="0" collapsed="false">
      <c r="C135" s="24"/>
    </row>
    <row r="136" customFormat="false" ht="15.75" hidden="false" customHeight="true" outlineLevel="0" collapsed="false">
      <c r="C136" s="24"/>
    </row>
    <row r="137" customFormat="false" ht="15.75" hidden="false" customHeight="true" outlineLevel="0" collapsed="false">
      <c r="C137" s="24"/>
    </row>
    <row r="138" customFormat="false" ht="15.75" hidden="false" customHeight="true" outlineLevel="0" collapsed="false">
      <c r="C138" s="24"/>
    </row>
    <row r="139" customFormat="false" ht="15.75" hidden="false" customHeight="true" outlineLevel="0" collapsed="false">
      <c r="C139" s="24"/>
    </row>
    <row r="140" customFormat="false" ht="15.75" hidden="false" customHeight="true" outlineLevel="0" collapsed="false">
      <c r="C140" s="24"/>
    </row>
    <row r="141" customFormat="false" ht="15.75" hidden="false" customHeight="true" outlineLevel="0" collapsed="false">
      <c r="C141" s="24"/>
    </row>
    <row r="142" customFormat="false" ht="15.75" hidden="false" customHeight="true" outlineLevel="0" collapsed="false">
      <c r="C142" s="24"/>
    </row>
    <row r="143" customFormat="false" ht="15.75" hidden="false" customHeight="true" outlineLevel="0" collapsed="false">
      <c r="C143" s="24"/>
    </row>
    <row r="144" customFormat="false" ht="15.75" hidden="false" customHeight="true" outlineLevel="0" collapsed="false">
      <c r="C144" s="24"/>
    </row>
    <row r="145" customFormat="false" ht="15.75" hidden="false" customHeight="true" outlineLevel="0" collapsed="false">
      <c r="C145" s="24"/>
    </row>
    <row r="146" customFormat="false" ht="15.75" hidden="false" customHeight="true" outlineLevel="0" collapsed="false">
      <c r="C146" s="24"/>
    </row>
    <row r="147" customFormat="false" ht="15.75" hidden="false" customHeight="true" outlineLevel="0" collapsed="false">
      <c r="C147" s="24"/>
    </row>
    <row r="148" customFormat="false" ht="15.75" hidden="false" customHeight="true" outlineLevel="0" collapsed="false">
      <c r="C148" s="24"/>
    </row>
    <row r="149" customFormat="false" ht="15.75" hidden="false" customHeight="true" outlineLevel="0" collapsed="false">
      <c r="C149" s="24"/>
    </row>
    <row r="150" customFormat="false" ht="15.75" hidden="false" customHeight="true" outlineLevel="0" collapsed="false">
      <c r="C150" s="24"/>
    </row>
    <row r="151" customFormat="false" ht="15.75" hidden="false" customHeight="true" outlineLevel="0" collapsed="false">
      <c r="C151" s="24"/>
    </row>
    <row r="152" customFormat="false" ht="15.75" hidden="false" customHeight="true" outlineLevel="0" collapsed="false">
      <c r="C152" s="24"/>
    </row>
    <row r="153" customFormat="false" ht="15.75" hidden="false" customHeight="true" outlineLevel="0" collapsed="false">
      <c r="C153" s="24"/>
    </row>
    <row r="154" customFormat="false" ht="15.75" hidden="false" customHeight="true" outlineLevel="0" collapsed="false">
      <c r="C154" s="24"/>
    </row>
    <row r="155" customFormat="false" ht="15.75" hidden="false" customHeight="true" outlineLevel="0" collapsed="false">
      <c r="C155" s="24"/>
    </row>
    <row r="156" customFormat="false" ht="15.75" hidden="false" customHeight="true" outlineLevel="0" collapsed="false">
      <c r="C156" s="24"/>
    </row>
    <row r="157" customFormat="false" ht="15.75" hidden="false" customHeight="true" outlineLevel="0" collapsed="false">
      <c r="C157" s="24"/>
    </row>
    <row r="158" customFormat="false" ht="15.75" hidden="false" customHeight="true" outlineLevel="0" collapsed="false">
      <c r="C158" s="24"/>
    </row>
    <row r="159" customFormat="false" ht="15.75" hidden="false" customHeight="true" outlineLevel="0" collapsed="false">
      <c r="C159" s="24"/>
    </row>
    <row r="160" customFormat="false" ht="15.75" hidden="false" customHeight="true" outlineLevel="0" collapsed="false">
      <c r="C160" s="24"/>
    </row>
    <row r="161" customFormat="false" ht="15.75" hidden="false" customHeight="true" outlineLevel="0" collapsed="false">
      <c r="C161" s="24"/>
    </row>
    <row r="162" customFormat="false" ht="15.75" hidden="false" customHeight="true" outlineLevel="0" collapsed="false">
      <c r="C162" s="24"/>
    </row>
    <row r="163" customFormat="false" ht="15.75" hidden="false" customHeight="true" outlineLevel="0" collapsed="false">
      <c r="C163" s="24"/>
    </row>
    <row r="164" customFormat="false" ht="15.75" hidden="false" customHeight="true" outlineLevel="0" collapsed="false">
      <c r="C164" s="24"/>
    </row>
    <row r="165" customFormat="false" ht="15.75" hidden="false" customHeight="true" outlineLevel="0" collapsed="false">
      <c r="C165" s="24"/>
    </row>
    <row r="166" customFormat="false" ht="15.75" hidden="false" customHeight="true" outlineLevel="0" collapsed="false">
      <c r="C166" s="24"/>
    </row>
    <row r="167" customFormat="false" ht="15.75" hidden="false" customHeight="true" outlineLevel="0" collapsed="false">
      <c r="C167" s="24"/>
    </row>
    <row r="168" customFormat="false" ht="15.75" hidden="false" customHeight="true" outlineLevel="0" collapsed="false">
      <c r="C168" s="24"/>
    </row>
    <row r="169" customFormat="false" ht="15.75" hidden="false" customHeight="true" outlineLevel="0" collapsed="false">
      <c r="C169" s="24"/>
    </row>
    <row r="170" customFormat="false" ht="15.75" hidden="false" customHeight="true" outlineLevel="0" collapsed="false">
      <c r="C170" s="24"/>
    </row>
    <row r="171" customFormat="false" ht="15.75" hidden="false" customHeight="true" outlineLevel="0" collapsed="false">
      <c r="C171" s="24"/>
    </row>
    <row r="172" customFormat="false" ht="15.75" hidden="false" customHeight="true" outlineLevel="0" collapsed="false">
      <c r="C172" s="24"/>
    </row>
    <row r="173" customFormat="false" ht="15.75" hidden="false" customHeight="true" outlineLevel="0" collapsed="false">
      <c r="C173" s="24"/>
    </row>
    <row r="174" customFormat="false" ht="15.75" hidden="false" customHeight="true" outlineLevel="0" collapsed="false">
      <c r="C174" s="24"/>
    </row>
    <row r="175" customFormat="false" ht="15.75" hidden="false" customHeight="true" outlineLevel="0" collapsed="false">
      <c r="C175" s="24"/>
    </row>
    <row r="176" customFormat="false" ht="15.75" hidden="false" customHeight="true" outlineLevel="0" collapsed="false">
      <c r="C176" s="24"/>
    </row>
    <row r="177" customFormat="false" ht="15.75" hidden="false" customHeight="true" outlineLevel="0" collapsed="false">
      <c r="C177" s="24"/>
    </row>
    <row r="178" customFormat="false" ht="15.75" hidden="false" customHeight="true" outlineLevel="0" collapsed="false">
      <c r="C178" s="24"/>
    </row>
    <row r="179" customFormat="false" ht="15.75" hidden="false" customHeight="true" outlineLevel="0" collapsed="false">
      <c r="C179" s="24"/>
    </row>
    <row r="180" customFormat="false" ht="15.75" hidden="false" customHeight="true" outlineLevel="0" collapsed="false">
      <c r="C180" s="24"/>
    </row>
    <row r="181" customFormat="false" ht="15.75" hidden="false" customHeight="true" outlineLevel="0" collapsed="false">
      <c r="C181" s="24"/>
    </row>
    <row r="182" customFormat="false" ht="15.75" hidden="false" customHeight="true" outlineLevel="0" collapsed="false">
      <c r="C182" s="24"/>
    </row>
    <row r="183" customFormat="false" ht="15.75" hidden="false" customHeight="true" outlineLevel="0" collapsed="false">
      <c r="C183" s="24"/>
    </row>
    <row r="184" customFormat="false" ht="15.75" hidden="false" customHeight="true" outlineLevel="0" collapsed="false">
      <c r="C184" s="24"/>
    </row>
    <row r="185" customFormat="false" ht="15.75" hidden="false" customHeight="true" outlineLevel="0" collapsed="false">
      <c r="C185" s="24"/>
    </row>
    <row r="186" customFormat="false" ht="15.75" hidden="false" customHeight="true" outlineLevel="0" collapsed="false">
      <c r="C186" s="24"/>
    </row>
    <row r="187" customFormat="false" ht="15.75" hidden="false" customHeight="true" outlineLevel="0" collapsed="false">
      <c r="C187" s="24"/>
    </row>
    <row r="188" customFormat="false" ht="15.75" hidden="false" customHeight="true" outlineLevel="0" collapsed="false">
      <c r="C188" s="24"/>
    </row>
    <row r="189" customFormat="false" ht="15.75" hidden="false" customHeight="true" outlineLevel="0" collapsed="false">
      <c r="C189" s="24"/>
    </row>
    <row r="190" customFormat="false" ht="15.75" hidden="false" customHeight="true" outlineLevel="0" collapsed="false">
      <c r="C190" s="24"/>
    </row>
    <row r="191" customFormat="false" ht="15.75" hidden="false" customHeight="true" outlineLevel="0" collapsed="false">
      <c r="C191" s="24"/>
    </row>
    <row r="192" customFormat="false" ht="15.75" hidden="false" customHeight="true" outlineLevel="0" collapsed="false">
      <c r="C192" s="24"/>
    </row>
    <row r="193" customFormat="false" ht="15.75" hidden="false" customHeight="true" outlineLevel="0" collapsed="false">
      <c r="C193" s="24"/>
    </row>
    <row r="194" customFormat="false" ht="15.75" hidden="false" customHeight="true" outlineLevel="0" collapsed="false">
      <c r="C194" s="24"/>
    </row>
    <row r="195" customFormat="false" ht="15.75" hidden="false" customHeight="true" outlineLevel="0" collapsed="false">
      <c r="C195" s="24"/>
    </row>
    <row r="196" customFormat="false" ht="15.75" hidden="false" customHeight="true" outlineLevel="0" collapsed="false">
      <c r="C196" s="24"/>
    </row>
    <row r="197" customFormat="false" ht="15.75" hidden="false" customHeight="true" outlineLevel="0" collapsed="false">
      <c r="C197" s="24"/>
    </row>
    <row r="198" customFormat="false" ht="15.75" hidden="false" customHeight="true" outlineLevel="0" collapsed="false">
      <c r="C198" s="24"/>
    </row>
    <row r="199" customFormat="false" ht="15.75" hidden="false" customHeight="true" outlineLevel="0" collapsed="false">
      <c r="C199" s="24"/>
    </row>
    <row r="200" customFormat="false" ht="15.75" hidden="false" customHeight="true" outlineLevel="0" collapsed="false">
      <c r="C200" s="24"/>
    </row>
    <row r="201" customFormat="false" ht="15.75" hidden="false" customHeight="true" outlineLevel="0" collapsed="false">
      <c r="C201" s="24"/>
    </row>
    <row r="202" customFormat="false" ht="15.75" hidden="false" customHeight="true" outlineLevel="0" collapsed="false">
      <c r="C202" s="24"/>
    </row>
    <row r="203" customFormat="false" ht="15.75" hidden="false" customHeight="true" outlineLevel="0" collapsed="false">
      <c r="C203" s="24"/>
    </row>
    <row r="204" customFormat="false" ht="15.75" hidden="false" customHeight="true" outlineLevel="0" collapsed="false">
      <c r="C204" s="24"/>
    </row>
    <row r="205" customFormat="false" ht="15.75" hidden="false" customHeight="true" outlineLevel="0" collapsed="false">
      <c r="C205" s="24"/>
    </row>
    <row r="206" customFormat="false" ht="15.75" hidden="false" customHeight="true" outlineLevel="0" collapsed="false">
      <c r="C206" s="24"/>
    </row>
    <row r="207" customFormat="false" ht="15.75" hidden="false" customHeight="true" outlineLevel="0" collapsed="false">
      <c r="C207" s="24"/>
    </row>
    <row r="208" customFormat="false" ht="15.75" hidden="false" customHeight="true" outlineLevel="0" collapsed="false">
      <c r="C208" s="24"/>
    </row>
    <row r="209" customFormat="false" ht="15.75" hidden="false" customHeight="true" outlineLevel="0" collapsed="false">
      <c r="C209" s="24"/>
    </row>
    <row r="210" customFormat="false" ht="15.75" hidden="false" customHeight="true" outlineLevel="0" collapsed="false">
      <c r="C210" s="24"/>
    </row>
    <row r="211" customFormat="false" ht="15.75" hidden="false" customHeight="true" outlineLevel="0" collapsed="false">
      <c r="C211" s="24"/>
    </row>
    <row r="212" customFormat="false" ht="15.75" hidden="false" customHeight="true" outlineLevel="0" collapsed="false">
      <c r="C212" s="24"/>
    </row>
    <row r="213" customFormat="false" ht="15.75" hidden="false" customHeight="true" outlineLevel="0" collapsed="false">
      <c r="C213" s="24"/>
    </row>
    <row r="214" customFormat="false" ht="15.75" hidden="false" customHeight="true" outlineLevel="0" collapsed="false">
      <c r="C214" s="24"/>
    </row>
    <row r="215" customFormat="false" ht="15.75" hidden="false" customHeight="true" outlineLevel="0" collapsed="false">
      <c r="C215" s="24"/>
    </row>
    <row r="216" customFormat="false" ht="15.75" hidden="false" customHeight="true" outlineLevel="0" collapsed="false">
      <c r="C216" s="24"/>
    </row>
    <row r="217" customFormat="false" ht="15.75" hidden="false" customHeight="true" outlineLevel="0" collapsed="false">
      <c r="C217" s="24"/>
    </row>
    <row r="218" customFormat="false" ht="15.75" hidden="false" customHeight="true" outlineLevel="0" collapsed="false">
      <c r="C218" s="24"/>
    </row>
    <row r="219" customFormat="false" ht="15.75" hidden="false" customHeight="true" outlineLevel="0" collapsed="false">
      <c r="C219" s="24"/>
    </row>
    <row r="220" customFormat="false" ht="15.75" hidden="false" customHeight="true" outlineLevel="0" collapsed="false">
      <c r="C220" s="24"/>
    </row>
    <row r="221" customFormat="false" ht="15.75" hidden="false" customHeight="true" outlineLevel="0" collapsed="false">
      <c r="C221" s="24"/>
    </row>
    <row r="222" customFormat="false" ht="15.75" hidden="false" customHeight="true" outlineLevel="0" collapsed="false">
      <c r="C222" s="24"/>
    </row>
    <row r="223" customFormat="false" ht="15.75" hidden="false" customHeight="true" outlineLevel="0" collapsed="false">
      <c r="C223" s="24"/>
    </row>
    <row r="224" customFormat="false" ht="15.75" hidden="false" customHeight="true" outlineLevel="0" collapsed="false">
      <c r="C224" s="24"/>
    </row>
    <row r="225" customFormat="false" ht="15.75" hidden="false" customHeight="true" outlineLevel="0" collapsed="false">
      <c r="C225" s="24"/>
    </row>
    <row r="226" customFormat="false" ht="15.75" hidden="false" customHeight="true" outlineLevel="0" collapsed="false">
      <c r="C226" s="24"/>
    </row>
    <row r="227" customFormat="false" ht="15.75" hidden="false" customHeight="true" outlineLevel="0" collapsed="false">
      <c r="C227" s="24"/>
    </row>
    <row r="228" customFormat="false" ht="15.75" hidden="false" customHeight="true" outlineLevel="0" collapsed="false">
      <c r="C228" s="24"/>
    </row>
    <row r="229" customFormat="false" ht="15.75" hidden="false" customHeight="true" outlineLevel="0" collapsed="false">
      <c r="C229" s="24"/>
    </row>
    <row r="230" customFormat="false" ht="15.75" hidden="false" customHeight="true" outlineLevel="0" collapsed="false">
      <c r="C230" s="24"/>
    </row>
    <row r="231" customFormat="false" ht="15.75" hidden="false" customHeight="true" outlineLevel="0" collapsed="false">
      <c r="C231" s="24"/>
    </row>
    <row r="232" customFormat="false" ht="15.75" hidden="false" customHeight="true" outlineLevel="0" collapsed="false">
      <c r="C232" s="24"/>
    </row>
    <row r="233" customFormat="false" ht="15.75" hidden="false" customHeight="true" outlineLevel="0" collapsed="false">
      <c r="C233" s="24"/>
    </row>
    <row r="234" customFormat="false" ht="15.75" hidden="false" customHeight="true" outlineLevel="0" collapsed="false">
      <c r="C234" s="24"/>
    </row>
    <row r="235" customFormat="false" ht="15.75" hidden="false" customHeight="true" outlineLevel="0" collapsed="false">
      <c r="C235" s="24"/>
    </row>
    <row r="236" customFormat="false" ht="15.75" hidden="false" customHeight="true" outlineLevel="0" collapsed="false">
      <c r="C236" s="24"/>
    </row>
    <row r="237" customFormat="false" ht="15.75" hidden="false" customHeight="true" outlineLevel="0" collapsed="false">
      <c r="C237" s="24"/>
    </row>
    <row r="238" customFormat="false" ht="15.75" hidden="false" customHeight="true" outlineLevel="0" collapsed="false">
      <c r="C238" s="24"/>
    </row>
    <row r="239" customFormat="false" ht="15.75" hidden="false" customHeight="true" outlineLevel="0" collapsed="false">
      <c r="C239" s="24"/>
    </row>
    <row r="240" customFormat="false" ht="15.75" hidden="false" customHeight="true" outlineLevel="0" collapsed="false">
      <c r="C240" s="24"/>
    </row>
    <row r="241" customFormat="false" ht="15.75" hidden="false" customHeight="true" outlineLevel="0" collapsed="false">
      <c r="C241" s="24"/>
    </row>
    <row r="242" customFormat="false" ht="15.75" hidden="false" customHeight="true" outlineLevel="0" collapsed="false">
      <c r="C242" s="24"/>
    </row>
    <row r="243" customFormat="false" ht="15.75" hidden="false" customHeight="true" outlineLevel="0" collapsed="false">
      <c r="C243" s="24"/>
    </row>
    <row r="244" customFormat="false" ht="15.75" hidden="false" customHeight="true" outlineLevel="0" collapsed="false">
      <c r="C244" s="24"/>
    </row>
    <row r="245" customFormat="false" ht="15.75" hidden="false" customHeight="true" outlineLevel="0" collapsed="false">
      <c r="C245" s="24"/>
    </row>
    <row r="246" customFormat="false" ht="15.75" hidden="false" customHeight="true" outlineLevel="0" collapsed="false">
      <c r="C246" s="24"/>
    </row>
    <row r="247" customFormat="false" ht="15.75" hidden="false" customHeight="true" outlineLevel="0" collapsed="false">
      <c r="C247" s="24"/>
    </row>
    <row r="248" customFormat="false" ht="15.75" hidden="false" customHeight="true" outlineLevel="0" collapsed="false">
      <c r="C248" s="24"/>
    </row>
    <row r="249" customFormat="false" ht="15.75" hidden="false" customHeight="true" outlineLevel="0" collapsed="false">
      <c r="C249" s="24"/>
    </row>
    <row r="250" customFormat="false" ht="15.75" hidden="false" customHeight="true" outlineLevel="0" collapsed="false">
      <c r="C250" s="24"/>
    </row>
    <row r="251" customFormat="false" ht="15.75" hidden="false" customHeight="true" outlineLevel="0" collapsed="false">
      <c r="C251" s="24"/>
    </row>
    <row r="252" customFormat="false" ht="15.75" hidden="false" customHeight="true" outlineLevel="0" collapsed="false">
      <c r="C252" s="24"/>
    </row>
    <row r="253" customFormat="false" ht="15.75" hidden="false" customHeight="true" outlineLevel="0" collapsed="false">
      <c r="C253" s="24"/>
    </row>
    <row r="254" customFormat="false" ht="15.75" hidden="false" customHeight="true" outlineLevel="0" collapsed="false">
      <c r="C254" s="24"/>
    </row>
    <row r="255" customFormat="false" ht="15.75" hidden="false" customHeight="true" outlineLevel="0" collapsed="false">
      <c r="C255" s="24"/>
    </row>
    <row r="256" customFormat="false" ht="15.75" hidden="false" customHeight="true" outlineLevel="0" collapsed="false">
      <c r="C256" s="24"/>
    </row>
    <row r="257" customFormat="false" ht="15.75" hidden="false" customHeight="true" outlineLevel="0" collapsed="false">
      <c r="C257" s="24"/>
    </row>
    <row r="258" customFormat="false" ht="15.75" hidden="false" customHeight="true" outlineLevel="0" collapsed="false">
      <c r="C258" s="24"/>
    </row>
    <row r="259" customFormat="false" ht="15.75" hidden="false" customHeight="true" outlineLevel="0" collapsed="false">
      <c r="C259" s="24"/>
    </row>
    <row r="260" customFormat="false" ht="15.75" hidden="false" customHeight="true" outlineLevel="0" collapsed="false">
      <c r="C260" s="24"/>
    </row>
    <row r="261" customFormat="false" ht="15.75" hidden="false" customHeight="true" outlineLevel="0" collapsed="false">
      <c r="C261" s="24"/>
    </row>
    <row r="262" customFormat="false" ht="15.75" hidden="false" customHeight="true" outlineLevel="0" collapsed="false">
      <c r="C262" s="24"/>
    </row>
    <row r="263" customFormat="false" ht="15.75" hidden="false" customHeight="true" outlineLevel="0" collapsed="false">
      <c r="C263" s="24"/>
    </row>
    <row r="264" customFormat="false" ht="15.75" hidden="false" customHeight="true" outlineLevel="0" collapsed="false">
      <c r="C264" s="24"/>
    </row>
    <row r="265" customFormat="false" ht="15.75" hidden="false" customHeight="true" outlineLevel="0" collapsed="false">
      <c r="C265" s="24"/>
    </row>
    <row r="266" customFormat="false" ht="15.75" hidden="false" customHeight="true" outlineLevel="0" collapsed="false">
      <c r="C266" s="24"/>
    </row>
    <row r="267" customFormat="false" ht="15.75" hidden="false" customHeight="true" outlineLevel="0" collapsed="false">
      <c r="C267" s="24"/>
    </row>
    <row r="268" customFormat="false" ht="15.75" hidden="false" customHeight="true" outlineLevel="0" collapsed="false">
      <c r="C268" s="24"/>
    </row>
    <row r="269" customFormat="false" ht="15.75" hidden="false" customHeight="true" outlineLevel="0" collapsed="false">
      <c r="C269" s="24"/>
    </row>
    <row r="270" customFormat="false" ht="15.75" hidden="false" customHeight="true" outlineLevel="0" collapsed="false">
      <c r="C270" s="24"/>
    </row>
    <row r="271" customFormat="false" ht="15.75" hidden="false" customHeight="true" outlineLevel="0" collapsed="false">
      <c r="C271" s="24"/>
    </row>
    <row r="272" customFormat="false" ht="15.75" hidden="false" customHeight="true" outlineLevel="0" collapsed="false">
      <c r="C272" s="24"/>
    </row>
    <row r="273" customFormat="false" ht="15.75" hidden="false" customHeight="true" outlineLevel="0" collapsed="false">
      <c r="C273" s="24"/>
    </row>
    <row r="274" customFormat="false" ht="15.75" hidden="false" customHeight="true" outlineLevel="0" collapsed="false">
      <c r="C274" s="24"/>
    </row>
    <row r="275" customFormat="false" ht="15.75" hidden="false" customHeight="true" outlineLevel="0" collapsed="false">
      <c r="C275" s="24"/>
    </row>
    <row r="276" customFormat="false" ht="15.75" hidden="false" customHeight="true" outlineLevel="0" collapsed="false">
      <c r="C276" s="24"/>
    </row>
    <row r="277" customFormat="false" ht="15.75" hidden="false" customHeight="true" outlineLevel="0" collapsed="false">
      <c r="C277" s="24"/>
    </row>
    <row r="278" customFormat="false" ht="15.75" hidden="false" customHeight="true" outlineLevel="0" collapsed="false">
      <c r="C278" s="24"/>
    </row>
    <row r="279" customFormat="false" ht="15.75" hidden="false" customHeight="true" outlineLevel="0" collapsed="false">
      <c r="C279" s="24"/>
    </row>
    <row r="280" customFormat="false" ht="15.75" hidden="false" customHeight="true" outlineLevel="0" collapsed="false">
      <c r="C280" s="24"/>
    </row>
    <row r="281" customFormat="false" ht="15.75" hidden="false" customHeight="true" outlineLevel="0" collapsed="false">
      <c r="C281" s="24"/>
    </row>
    <row r="282" customFormat="false" ht="15.75" hidden="false" customHeight="true" outlineLevel="0" collapsed="false">
      <c r="C282" s="24"/>
    </row>
    <row r="283" customFormat="false" ht="15.75" hidden="false" customHeight="true" outlineLevel="0" collapsed="false">
      <c r="C283" s="24"/>
    </row>
    <row r="284" customFormat="false" ht="15.75" hidden="false" customHeight="true" outlineLevel="0" collapsed="false">
      <c r="C284" s="24"/>
    </row>
    <row r="285" customFormat="false" ht="15.75" hidden="false" customHeight="true" outlineLevel="0" collapsed="false">
      <c r="C285" s="24"/>
    </row>
    <row r="286" customFormat="false" ht="15.75" hidden="false" customHeight="true" outlineLevel="0" collapsed="false">
      <c r="C286" s="24"/>
    </row>
    <row r="287" customFormat="false" ht="15.75" hidden="false" customHeight="true" outlineLevel="0" collapsed="false">
      <c r="C287" s="24"/>
    </row>
    <row r="288" customFormat="false" ht="15.75" hidden="false" customHeight="true" outlineLevel="0" collapsed="false">
      <c r="C288" s="24"/>
    </row>
    <row r="289" customFormat="false" ht="15.75" hidden="false" customHeight="true" outlineLevel="0" collapsed="false">
      <c r="C289" s="24"/>
    </row>
    <row r="290" customFormat="false" ht="15.75" hidden="false" customHeight="true" outlineLevel="0" collapsed="false">
      <c r="C290" s="24"/>
    </row>
    <row r="291" customFormat="false" ht="15.75" hidden="false" customHeight="true" outlineLevel="0" collapsed="false">
      <c r="C291" s="24"/>
    </row>
    <row r="292" customFormat="false" ht="15.75" hidden="false" customHeight="true" outlineLevel="0" collapsed="false">
      <c r="C292" s="24"/>
    </row>
    <row r="293" customFormat="false" ht="15.75" hidden="false" customHeight="true" outlineLevel="0" collapsed="false">
      <c r="C293" s="24"/>
    </row>
    <row r="294" customFormat="false" ht="15.75" hidden="false" customHeight="true" outlineLevel="0" collapsed="false">
      <c r="C294" s="24"/>
    </row>
    <row r="295" customFormat="false" ht="15.75" hidden="false" customHeight="true" outlineLevel="0" collapsed="false">
      <c r="C295" s="24"/>
    </row>
    <row r="296" customFormat="false" ht="15.75" hidden="false" customHeight="true" outlineLevel="0" collapsed="false">
      <c r="C296" s="24"/>
    </row>
    <row r="297" customFormat="false" ht="15.75" hidden="false" customHeight="true" outlineLevel="0" collapsed="false">
      <c r="C297" s="24"/>
    </row>
    <row r="298" customFormat="false" ht="15.75" hidden="false" customHeight="true" outlineLevel="0" collapsed="false">
      <c r="C298" s="24"/>
    </row>
    <row r="299" customFormat="false" ht="15.75" hidden="false" customHeight="true" outlineLevel="0" collapsed="false">
      <c r="C299" s="24"/>
    </row>
    <row r="300" customFormat="false" ht="15.75" hidden="false" customHeight="true" outlineLevel="0" collapsed="false">
      <c r="C300" s="24"/>
    </row>
    <row r="301" customFormat="false" ht="15.75" hidden="false" customHeight="true" outlineLevel="0" collapsed="false">
      <c r="C301" s="24"/>
    </row>
    <row r="302" customFormat="false" ht="15.75" hidden="false" customHeight="true" outlineLevel="0" collapsed="false">
      <c r="C302" s="24"/>
    </row>
    <row r="303" customFormat="false" ht="15.75" hidden="false" customHeight="true" outlineLevel="0" collapsed="false">
      <c r="C303" s="24"/>
    </row>
    <row r="304" customFormat="false" ht="15.75" hidden="false" customHeight="true" outlineLevel="0" collapsed="false">
      <c r="C304" s="24"/>
    </row>
    <row r="305" customFormat="false" ht="15.75" hidden="false" customHeight="true" outlineLevel="0" collapsed="false">
      <c r="C305" s="24"/>
    </row>
    <row r="306" customFormat="false" ht="15.75" hidden="false" customHeight="true" outlineLevel="0" collapsed="false">
      <c r="C306" s="24"/>
    </row>
    <row r="307" customFormat="false" ht="15.75" hidden="false" customHeight="true" outlineLevel="0" collapsed="false">
      <c r="C307" s="24"/>
    </row>
    <row r="308" customFormat="false" ht="15.75" hidden="false" customHeight="true" outlineLevel="0" collapsed="false">
      <c r="C308" s="24"/>
    </row>
    <row r="309" customFormat="false" ht="15.75" hidden="false" customHeight="true" outlineLevel="0" collapsed="false">
      <c r="C309" s="24"/>
    </row>
    <row r="310" customFormat="false" ht="15.75" hidden="false" customHeight="true" outlineLevel="0" collapsed="false">
      <c r="C310" s="24"/>
    </row>
    <row r="311" customFormat="false" ht="15.75" hidden="false" customHeight="true" outlineLevel="0" collapsed="false">
      <c r="C311" s="24"/>
    </row>
    <row r="312" customFormat="false" ht="15.75" hidden="false" customHeight="true" outlineLevel="0" collapsed="false">
      <c r="C312" s="24"/>
    </row>
    <row r="313" customFormat="false" ht="15.75" hidden="false" customHeight="true" outlineLevel="0" collapsed="false">
      <c r="C313" s="24"/>
    </row>
    <row r="314" customFormat="false" ht="15.75" hidden="false" customHeight="true" outlineLevel="0" collapsed="false">
      <c r="C314" s="24"/>
    </row>
    <row r="315" customFormat="false" ht="15.75" hidden="false" customHeight="true" outlineLevel="0" collapsed="false">
      <c r="C315" s="24"/>
    </row>
    <row r="316" customFormat="false" ht="15.75" hidden="false" customHeight="true" outlineLevel="0" collapsed="false">
      <c r="C316" s="24"/>
    </row>
    <row r="317" customFormat="false" ht="15.75" hidden="false" customHeight="true" outlineLevel="0" collapsed="false">
      <c r="C317" s="24"/>
    </row>
    <row r="318" customFormat="false" ht="15.75" hidden="false" customHeight="true" outlineLevel="0" collapsed="false">
      <c r="C318" s="24"/>
    </row>
    <row r="319" customFormat="false" ht="15.75" hidden="false" customHeight="true" outlineLevel="0" collapsed="false">
      <c r="C319" s="24"/>
    </row>
    <row r="320" customFormat="false" ht="15.75" hidden="false" customHeight="true" outlineLevel="0" collapsed="false">
      <c r="C320" s="24"/>
    </row>
    <row r="321" customFormat="false" ht="15.75" hidden="false" customHeight="true" outlineLevel="0" collapsed="false">
      <c r="C321" s="24"/>
    </row>
    <row r="322" customFormat="false" ht="15.75" hidden="false" customHeight="true" outlineLevel="0" collapsed="false">
      <c r="C322" s="24"/>
    </row>
    <row r="323" customFormat="false" ht="15.75" hidden="false" customHeight="true" outlineLevel="0" collapsed="false">
      <c r="C323" s="24"/>
    </row>
    <row r="324" customFormat="false" ht="15.75" hidden="false" customHeight="true" outlineLevel="0" collapsed="false">
      <c r="C324" s="24"/>
    </row>
    <row r="325" customFormat="false" ht="15.75" hidden="false" customHeight="true" outlineLevel="0" collapsed="false">
      <c r="C325" s="24"/>
    </row>
    <row r="326" customFormat="false" ht="15.75" hidden="false" customHeight="true" outlineLevel="0" collapsed="false">
      <c r="C326" s="24"/>
    </row>
    <row r="327" customFormat="false" ht="15.75" hidden="false" customHeight="true" outlineLevel="0" collapsed="false">
      <c r="C327" s="24"/>
    </row>
    <row r="328" customFormat="false" ht="15.75" hidden="false" customHeight="true" outlineLevel="0" collapsed="false">
      <c r="C328" s="24"/>
    </row>
    <row r="329" customFormat="false" ht="15.75" hidden="false" customHeight="true" outlineLevel="0" collapsed="false">
      <c r="C329" s="24"/>
    </row>
    <row r="330" customFormat="false" ht="15.75" hidden="false" customHeight="true" outlineLevel="0" collapsed="false">
      <c r="C330" s="24"/>
    </row>
    <row r="331" customFormat="false" ht="15.75" hidden="false" customHeight="true" outlineLevel="0" collapsed="false">
      <c r="C331" s="24"/>
    </row>
    <row r="332" customFormat="false" ht="15.75" hidden="false" customHeight="true" outlineLevel="0" collapsed="false">
      <c r="C332" s="24"/>
    </row>
    <row r="333" customFormat="false" ht="15.75" hidden="false" customHeight="true" outlineLevel="0" collapsed="false">
      <c r="C333" s="24"/>
    </row>
    <row r="334" customFormat="false" ht="15.75" hidden="false" customHeight="true" outlineLevel="0" collapsed="false">
      <c r="C334" s="24"/>
    </row>
    <row r="335" customFormat="false" ht="15.75" hidden="false" customHeight="true" outlineLevel="0" collapsed="false">
      <c r="C335" s="24"/>
    </row>
    <row r="336" customFormat="false" ht="15.75" hidden="false" customHeight="true" outlineLevel="0" collapsed="false">
      <c r="C336" s="24"/>
    </row>
    <row r="337" customFormat="false" ht="15.75" hidden="false" customHeight="true" outlineLevel="0" collapsed="false">
      <c r="C337" s="24"/>
    </row>
    <row r="338" customFormat="false" ht="15.75" hidden="false" customHeight="true" outlineLevel="0" collapsed="false">
      <c r="C338" s="24"/>
    </row>
    <row r="339" customFormat="false" ht="15.75" hidden="false" customHeight="true" outlineLevel="0" collapsed="false">
      <c r="C339" s="24"/>
    </row>
    <row r="340" customFormat="false" ht="15.75" hidden="false" customHeight="true" outlineLevel="0" collapsed="false">
      <c r="C340" s="24"/>
    </row>
    <row r="341" customFormat="false" ht="15.75" hidden="false" customHeight="true" outlineLevel="0" collapsed="false">
      <c r="C341" s="24"/>
    </row>
    <row r="342" customFormat="false" ht="15.75" hidden="false" customHeight="true" outlineLevel="0" collapsed="false">
      <c r="C342" s="24"/>
    </row>
    <row r="343" customFormat="false" ht="15.75" hidden="false" customHeight="true" outlineLevel="0" collapsed="false">
      <c r="C343" s="24"/>
    </row>
    <row r="344" customFormat="false" ht="15.75" hidden="false" customHeight="true" outlineLevel="0" collapsed="false">
      <c r="C344" s="24"/>
    </row>
    <row r="345" customFormat="false" ht="15.75" hidden="false" customHeight="true" outlineLevel="0" collapsed="false">
      <c r="C345" s="24"/>
    </row>
    <row r="346" customFormat="false" ht="15.75" hidden="false" customHeight="true" outlineLevel="0" collapsed="false">
      <c r="C346" s="24"/>
    </row>
    <row r="347" customFormat="false" ht="15.75" hidden="false" customHeight="true" outlineLevel="0" collapsed="false">
      <c r="C347" s="24"/>
    </row>
    <row r="348" customFormat="false" ht="15.75" hidden="false" customHeight="true" outlineLevel="0" collapsed="false">
      <c r="C348" s="24"/>
    </row>
    <row r="349" customFormat="false" ht="15.75" hidden="false" customHeight="true" outlineLevel="0" collapsed="false">
      <c r="C349" s="24"/>
    </row>
    <row r="350" customFormat="false" ht="15.75" hidden="false" customHeight="true" outlineLevel="0" collapsed="false">
      <c r="C350" s="24"/>
    </row>
    <row r="351" customFormat="false" ht="15.75" hidden="false" customHeight="true" outlineLevel="0" collapsed="false">
      <c r="C351" s="24"/>
    </row>
    <row r="352" customFormat="false" ht="15.75" hidden="false" customHeight="true" outlineLevel="0" collapsed="false">
      <c r="C352" s="24"/>
    </row>
    <row r="353" customFormat="false" ht="15.75" hidden="false" customHeight="true" outlineLevel="0" collapsed="false">
      <c r="C353" s="24"/>
    </row>
    <row r="354" customFormat="false" ht="15.75" hidden="false" customHeight="true" outlineLevel="0" collapsed="false">
      <c r="C354" s="24"/>
    </row>
    <row r="355" customFormat="false" ht="15.75" hidden="false" customHeight="true" outlineLevel="0" collapsed="false">
      <c r="C355" s="24"/>
    </row>
    <row r="356" customFormat="false" ht="15.75" hidden="false" customHeight="true" outlineLevel="0" collapsed="false">
      <c r="C356" s="24"/>
    </row>
    <row r="357" customFormat="false" ht="15.75" hidden="false" customHeight="true" outlineLevel="0" collapsed="false">
      <c r="C357" s="24"/>
    </row>
    <row r="358" customFormat="false" ht="15.75" hidden="false" customHeight="true" outlineLevel="0" collapsed="false">
      <c r="C358" s="24"/>
    </row>
    <row r="359" customFormat="false" ht="15.75" hidden="false" customHeight="true" outlineLevel="0" collapsed="false">
      <c r="C359" s="24"/>
    </row>
    <row r="360" customFormat="false" ht="15.75" hidden="false" customHeight="true" outlineLevel="0" collapsed="false">
      <c r="C360" s="24"/>
    </row>
    <row r="361" customFormat="false" ht="15.75" hidden="false" customHeight="true" outlineLevel="0" collapsed="false">
      <c r="C361" s="24"/>
    </row>
    <row r="362" customFormat="false" ht="15.75" hidden="false" customHeight="true" outlineLevel="0" collapsed="false">
      <c r="C362" s="24"/>
    </row>
    <row r="363" customFormat="false" ht="15.75" hidden="false" customHeight="true" outlineLevel="0" collapsed="false">
      <c r="C363" s="24"/>
    </row>
    <row r="364" customFormat="false" ht="15.75" hidden="false" customHeight="true" outlineLevel="0" collapsed="false">
      <c r="C364" s="24"/>
    </row>
    <row r="365" customFormat="false" ht="15.75" hidden="false" customHeight="true" outlineLevel="0" collapsed="false">
      <c r="C365" s="24"/>
    </row>
    <row r="366" customFormat="false" ht="15.75" hidden="false" customHeight="true" outlineLevel="0" collapsed="false">
      <c r="C366" s="24"/>
    </row>
    <row r="367" customFormat="false" ht="15.75" hidden="false" customHeight="true" outlineLevel="0" collapsed="false">
      <c r="C367" s="24"/>
    </row>
    <row r="368" customFormat="false" ht="15.75" hidden="false" customHeight="true" outlineLevel="0" collapsed="false">
      <c r="C368" s="24"/>
    </row>
    <row r="369" customFormat="false" ht="15.75" hidden="false" customHeight="true" outlineLevel="0" collapsed="false">
      <c r="C369" s="24"/>
    </row>
    <row r="370" customFormat="false" ht="15.75" hidden="false" customHeight="true" outlineLevel="0" collapsed="false">
      <c r="C370" s="24"/>
    </row>
    <row r="371" customFormat="false" ht="15.75" hidden="false" customHeight="true" outlineLevel="0" collapsed="false">
      <c r="C371" s="24"/>
    </row>
    <row r="372" customFormat="false" ht="15.75" hidden="false" customHeight="true" outlineLevel="0" collapsed="false">
      <c r="C372" s="24"/>
    </row>
    <row r="373" customFormat="false" ht="15.75" hidden="false" customHeight="true" outlineLevel="0" collapsed="false">
      <c r="C373" s="24"/>
    </row>
    <row r="374" customFormat="false" ht="15.75" hidden="false" customHeight="true" outlineLevel="0" collapsed="false">
      <c r="C374" s="24"/>
    </row>
    <row r="375" customFormat="false" ht="15.75" hidden="false" customHeight="true" outlineLevel="0" collapsed="false">
      <c r="C375" s="24"/>
    </row>
    <row r="376" customFormat="false" ht="15.75" hidden="false" customHeight="true" outlineLevel="0" collapsed="false">
      <c r="C376" s="24"/>
    </row>
    <row r="377" customFormat="false" ht="15.75" hidden="false" customHeight="true" outlineLevel="0" collapsed="false">
      <c r="C377" s="24"/>
    </row>
    <row r="378" customFormat="false" ht="15.75" hidden="false" customHeight="true" outlineLevel="0" collapsed="false">
      <c r="C378" s="24"/>
    </row>
    <row r="379" customFormat="false" ht="15.75" hidden="false" customHeight="true" outlineLevel="0" collapsed="false">
      <c r="C379" s="24"/>
    </row>
    <row r="380" customFormat="false" ht="15.75" hidden="false" customHeight="true" outlineLevel="0" collapsed="false">
      <c r="C380" s="24"/>
    </row>
    <row r="381" customFormat="false" ht="15.75" hidden="false" customHeight="true" outlineLevel="0" collapsed="false">
      <c r="C381" s="24"/>
    </row>
    <row r="382" customFormat="false" ht="15.75" hidden="false" customHeight="true" outlineLevel="0" collapsed="false">
      <c r="C382" s="24"/>
    </row>
    <row r="383" customFormat="false" ht="15.75" hidden="false" customHeight="true" outlineLevel="0" collapsed="false">
      <c r="C383" s="24"/>
    </row>
    <row r="384" customFormat="false" ht="15.75" hidden="false" customHeight="true" outlineLevel="0" collapsed="false">
      <c r="C384" s="24"/>
    </row>
    <row r="385" customFormat="false" ht="15.75" hidden="false" customHeight="true" outlineLevel="0" collapsed="false">
      <c r="C385" s="24"/>
    </row>
    <row r="386" customFormat="false" ht="15.75" hidden="false" customHeight="true" outlineLevel="0" collapsed="false">
      <c r="C386" s="24"/>
    </row>
    <row r="387" customFormat="false" ht="15.75" hidden="false" customHeight="true" outlineLevel="0" collapsed="false">
      <c r="C387" s="24"/>
    </row>
    <row r="388" customFormat="false" ht="15.75" hidden="false" customHeight="true" outlineLevel="0" collapsed="false">
      <c r="C388" s="24"/>
    </row>
    <row r="389" customFormat="false" ht="15.75" hidden="false" customHeight="true" outlineLevel="0" collapsed="false">
      <c r="C389" s="24"/>
    </row>
    <row r="390" customFormat="false" ht="15.75" hidden="false" customHeight="true" outlineLevel="0" collapsed="false">
      <c r="C390" s="24"/>
    </row>
    <row r="391" customFormat="false" ht="15.75" hidden="false" customHeight="true" outlineLevel="0" collapsed="false">
      <c r="C391" s="24"/>
    </row>
    <row r="392" customFormat="false" ht="15.75" hidden="false" customHeight="true" outlineLevel="0" collapsed="false">
      <c r="C392" s="24"/>
    </row>
    <row r="393" customFormat="false" ht="15.75" hidden="false" customHeight="true" outlineLevel="0" collapsed="false">
      <c r="C393" s="24"/>
    </row>
    <row r="394" customFormat="false" ht="15.75" hidden="false" customHeight="true" outlineLevel="0" collapsed="false">
      <c r="C394" s="24"/>
    </row>
    <row r="395" customFormat="false" ht="15.75" hidden="false" customHeight="true" outlineLevel="0" collapsed="false">
      <c r="C395" s="24"/>
    </row>
    <row r="396" customFormat="false" ht="15.75" hidden="false" customHeight="true" outlineLevel="0" collapsed="false">
      <c r="C396" s="24"/>
    </row>
    <row r="397" customFormat="false" ht="15.75" hidden="false" customHeight="true" outlineLevel="0" collapsed="false">
      <c r="C397" s="24"/>
    </row>
    <row r="398" customFormat="false" ht="15.75" hidden="false" customHeight="true" outlineLevel="0" collapsed="false">
      <c r="C398" s="24"/>
    </row>
    <row r="399" customFormat="false" ht="15.75" hidden="false" customHeight="true" outlineLevel="0" collapsed="false">
      <c r="C399" s="24"/>
    </row>
    <row r="400" customFormat="false" ht="15.75" hidden="false" customHeight="true" outlineLevel="0" collapsed="false">
      <c r="C400" s="24"/>
    </row>
    <row r="401" customFormat="false" ht="15.75" hidden="false" customHeight="true" outlineLevel="0" collapsed="false">
      <c r="C401" s="24"/>
    </row>
    <row r="402" customFormat="false" ht="15.75" hidden="false" customHeight="true" outlineLevel="0" collapsed="false">
      <c r="C402" s="24"/>
    </row>
    <row r="403" customFormat="false" ht="15.75" hidden="false" customHeight="true" outlineLevel="0" collapsed="false">
      <c r="C403" s="24"/>
    </row>
    <row r="404" customFormat="false" ht="15.75" hidden="false" customHeight="true" outlineLevel="0" collapsed="false">
      <c r="C404" s="24"/>
    </row>
    <row r="405" customFormat="false" ht="15.75" hidden="false" customHeight="true" outlineLevel="0" collapsed="false">
      <c r="C405" s="24"/>
    </row>
    <row r="406" customFormat="false" ht="15.75" hidden="false" customHeight="true" outlineLevel="0" collapsed="false">
      <c r="C406" s="24"/>
    </row>
    <row r="407" customFormat="false" ht="15.75" hidden="false" customHeight="true" outlineLevel="0" collapsed="false">
      <c r="C407" s="24"/>
    </row>
    <row r="408" customFormat="false" ht="15.75" hidden="false" customHeight="true" outlineLevel="0" collapsed="false">
      <c r="C408" s="24"/>
    </row>
    <row r="409" customFormat="false" ht="15.75" hidden="false" customHeight="true" outlineLevel="0" collapsed="false">
      <c r="C409" s="24"/>
    </row>
    <row r="410" customFormat="false" ht="15.75" hidden="false" customHeight="true" outlineLevel="0" collapsed="false">
      <c r="C410" s="24"/>
    </row>
    <row r="411" customFormat="false" ht="15.75" hidden="false" customHeight="true" outlineLevel="0" collapsed="false">
      <c r="C411" s="24"/>
    </row>
    <row r="412" customFormat="false" ht="15.75" hidden="false" customHeight="true" outlineLevel="0" collapsed="false">
      <c r="C412" s="24"/>
    </row>
    <row r="413" customFormat="false" ht="15.75" hidden="false" customHeight="true" outlineLevel="0" collapsed="false">
      <c r="C413" s="24"/>
    </row>
    <row r="414" customFormat="false" ht="15.75" hidden="false" customHeight="true" outlineLevel="0" collapsed="false">
      <c r="C414" s="24"/>
    </row>
    <row r="415" customFormat="false" ht="15.75" hidden="false" customHeight="true" outlineLevel="0" collapsed="false">
      <c r="C415" s="24"/>
    </row>
    <row r="416" customFormat="false" ht="15.75" hidden="false" customHeight="true" outlineLevel="0" collapsed="false">
      <c r="C416" s="24"/>
    </row>
    <row r="417" customFormat="false" ht="15.75" hidden="false" customHeight="true" outlineLevel="0" collapsed="false">
      <c r="C417" s="24"/>
    </row>
    <row r="418" customFormat="false" ht="15.75" hidden="false" customHeight="true" outlineLevel="0" collapsed="false">
      <c r="C418" s="24"/>
    </row>
    <row r="419" customFormat="false" ht="15.75" hidden="false" customHeight="true" outlineLevel="0" collapsed="false">
      <c r="C419" s="24"/>
    </row>
    <row r="420" customFormat="false" ht="15.75" hidden="false" customHeight="true" outlineLevel="0" collapsed="false">
      <c r="C420" s="24"/>
    </row>
    <row r="421" customFormat="false" ht="15.75" hidden="false" customHeight="true" outlineLevel="0" collapsed="false">
      <c r="C421" s="24"/>
    </row>
    <row r="422" customFormat="false" ht="15.75" hidden="false" customHeight="true" outlineLevel="0" collapsed="false">
      <c r="C422" s="24"/>
    </row>
    <row r="423" customFormat="false" ht="15.75" hidden="false" customHeight="true" outlineLevel="0" collapsed="false">
      <c r="C423" s="24"/>
    </row>
    <row r="424" customFormat="false" ht="15.75" hidden="false" customHeight="true" outlineLevel="0" collapsed="false">
      <c r="C424" s="24"/>
    </row>
    <row r="425" customFormat="false" ht="15.75" hidden="false" customHeight="true" outlineLevel="0" collapsed="false">
      <c r="C425" s="24"/>
    </row>
    <row r="426" customFormat="false" ht="15.75" hidden="false" customHeight="true" outlineLevel="0" collapsed="false">
      <c r="C426" s="24"/>
    </row>
    <row r="427" customFormat="false" ht="15.75" hidden="false" customHeight="true" outlineLevel="0" collapsed="false">
      <c r="C427" s="24"/>
    </row>
    <row r="428" customFormat="false" ht="15.75" hidden="false" customHeight="true" outlineLevel="0" collapsed="false">
      <c r="C428" s="24"/>
    </row>
    <row r="429" customFormat="false" ht="15.75" hidden="false" customHeight="true" outlineLevel="0" collapsed="false">
      <c r="C429" s="24"/>
    </row>
    <row r="430" customFormat="false" ht="15.75" hidden="false" customHeight="true" outlineLevel="0" collapsed="false">
      <c r="C430" s="24"/>
    </row>
    <row r="431" customFormat="false" ht="15.75" hidden="false" customHeight="true" outlineLevel="0" collapsed="false">
      <c r="C431" s="24"/>
    </row>
    <row r="432" customFormat="false" ht="15.75" hidden="false" customHeight="true" outlineLevel="0" collapsed="false">
      <c r="C432" s="24"/>
    </row>
    <row r="433" customFormat="false" ht="15.75" hidden="false" customHeight="true" outlineLevel="0" collapsed="false">
      <c r="C433" s="24"/>
    </row>
    <row r="434" customFormat="false" ht="15.75" hidden="false" customHeight="true" outlineLevel="0" collapsed="false">
      <c r="C434" s="24"/>
    </row>
    <row r="435" customFormat="false" ht="15.75" hidden="false" customHeight="true" outlineLevel="0" collapsed="false">
      <c r="C435" s="24"/>
    </row>
    <row r="436" customFormat="false" ht="15.75" hidden="false" customHeight="true" outlineLevel="0" collapsed="false">
      <c r="C436" s="24"/>
    </row>
    <row r="437" customFormat="false" ht="15.75" hidden="false" customHeight="true" outlineLevel="0" collapsed="false">
      <c r="C437" s="24"/>
    </row>
    <row r="438" customFormat="false" ht="15.75" hidden="false" customHeight="true" outlineLevel="0" collapsed="false">
      <c r="C438" s="24"/>
    </row>
    <row r="439" customFormat="false" ht="15.75" hidden="false" customHeight="true" outlineLevel="0" collapsed="false">
      <c r="C439" s="24"/>
    </row>
    <row r="440" customFormat="false" ht="15.75" hidden="false" customHeight="true" outlineLevel="0" collapsed="false">
      <c r="C440" s="24"/>
    </row>
    <row r="441" customFormat="false" ht="15.75" hidden="false" customHeight="true" outlineLevel="0" collapsed="false">
      <c r="C441" s="24"/>
    </row>
    <row r="442" customFormat="false" ht="15.75" hidden="false" customHeight="true" outlineLevel="0" collapsed="false">
      <c r="C442" s="24"/>
    </row>
    <row r="443" customFormat="false" ht="15.75" hidden="false" customHeight="true" outlineLevel="0" collapsed="false">
      <c r="C443" s="24"/>
    </row>
    <row r="444" customFormat="false" ht="15.75" hidden="false" customHeight="true" outlineLevel="0" collapsed="false">
      <c r="C444" s="24"/>
    </row>
    <row r="445" customFormat="false" ht="15.75" hidden="false" customHeight="true" outlineLevel="0" collapsed="false">
      <c r="C445" s="24"/>
    </row>
    <row r="446" customFormat="false" ht="15.75" hidden="false" customHeight="true" outlineLevel="0" collapsed="false">
      <c r="C446" s="24"/>
    </row>
    <row r="447" customFormat="false" ht="15.75" hidden="false" customHeight="true" outlineLevel="0" collapsed="false">
      <c r="C447" s="24"/>
    </row>
    <row r="448" customFormat="false" ht="15.75" hidden="false" customHeight="true" outlineLevel="0" collapsed="false">
      <c r="C448" s="24"/>
    </row>
    <row r="449" customFormat="false" ht="15.75" hidden="false" customHeight="true" outlineLevel="0" collapsed="false">
      <c r="C449" s="24"/>
    </row>
    <row r="450" customFormat="false" ht="15.75" hidden="false" customHeight="true" outlineLevel="0" collapsed="false">
      <c r="C450" s="24"/>
    </row>
    <row r="451" customFormat="false" ht="15.75" hidden="false" customHeight="true" outlineLevel="0" collapsed="false">
      <c r="C451" s="24"/>
    </row>
    <row r="452" customFormat="false" ht="15.75" hidden="false" customHeight="true" outlineLevel="0" collapsed="false">
      <c r="C452" s="24"/>
    </row>
    <row r="453" customFormat="false" ht="15.75" hidden="false" customHeight="true" outlineLevel="0" collapsed="false">
      <c r="C453" s="24"/>
    </row>
    <row r="454" customFormat="false" ht="15.75" hidden="false" customHeight="true" outlineLevel="0" collapsed="false">
      <c r="C454" s="24"/>
    </row>
    <row r="455" customFormat="false" ht="15.75" hidden="false" customHeight="true" outlineLevel="0" collapsed="false">
      <c r="C455" s="24"/>
    </row>
    <row r="456" customFormat="false" ht="15.75" hidden="false" customHeight="true" outlineLevel="0" collapsed="false">
      <c r="C456" s="24"/>
    </row>
    <row r="457" customFormat="false" ht="15.75" hidden="false" customHeight="true" outlineLevel="0" collapsed="false">
      <c r="C457" s="24"/>
    </row>
    <row r="458" customFormat="false" ht="15.75" hidden="false" customHeight="true" outlineLevel="0" collapsed="false">
      <c r="C458" s="24"/>
    </row>
    <row r="459" customFormat="false" ht="15.75" hidden="false" customHeight="true" outlineLevel="0" collapsed="false">
      <c r="C459" s="24"/>
    </row>
    <row r="460" customFormat="false" ht="15.75" hidden="false" customHeight="true" outlineLevel="0" collapsed="false">
      <c r="C460" s="24"/>
    </row>
    <row r="461" customFormat="false" ht="15.75" hidden="false" customHeight="true" outlineLevel="0" collapsed="false">
      <c r="C461" s="24"/>
    </row>
    <row r="462" customFormat="false" ht="15.75" hidden="false" customHeight="true" outlineLevel="0" collapsed="false">
      <c r="C462" s="24"/>
    </row>
    <row r="463" customFormat="false" ht="15.75" hidden="false" customHeight="true" outlineLevel="0" collapsed="false">
      <c r="C463" s="24"/>
    </row>
    <row r="464" customFormat="false" ht="15.75" hidden="false" customHeight="true" outlineLevel="0" collapsed="false">
      <c r="C464" s="24"/>
    </row>
    <row r="465" customFormat="false" ht="15.75" hidden="false" customHeight="true" outlineLevel="0" collapsed="false">
      <c r="C465" s="24"/>
    </row>
    <row r="466" customFormat="false" ht="15.75" hidden="false" customHeight="true" outlineLevel="0" collapsed="false">
      <c r="C466" s="24"/>
    </row>
    <row r="467" customFormat="false" ht="15.75" hidden="false" customHeight="true" outlineLevel="0" collapsed="false">
      <c r="C467" s="24"/>
    </row>
    <row r="468" customFormat="false" ht="15.75" hidden="false" customHeight="true" outlineLevel="0" collapsed="false">
      <c r="C468" s="24"/>
    </row>
    <row r="469" customFormat="false" ht="15.75" hidden="false" customHeight="true" outlineLevel="0" collapsed="false">
      <c r="C469" s="24"/>
    </row>
    <row r="470" customFormat="false" ht="15.75" hidden="false" customHeight="true" outlineLevel="0" collapsed="false">
      <c r="C470" s="24"/>
    </row>
    <row r="471" customFormat="false" ht="15.75" hidden="false" customHeight="true" outlineLevel="0" collapsed="false">
      <c r="C471" s="24"/>
    </row>
    <row r="472" customFormat="false" ht="15.75" hidden="false" customHeight="true" outlineLevel="0" collapsed="false">
      <c r="C472" s="24"/>
    </row>
    <row r="473" customFormat="false" ht="15.75" hidden="false" customHeight="true" outlineLevel="0" collapsed="false">
      <c r="C473" s="24"/>
    </row>
    <row r="474" customFormat="false" ht="15.75" hidden="false" customHeight="true" outlineLevel="0" collapsed="false">
      <c r="C474" s="24"/>
    </row>
    <row r="475" customFormat="false" ht="15.75" hidden="false" customHeight="true" outlineLevel="0" collapsed="false">
      <c r="C475" s="24"/>
    </row>
    <row r="476" customFormat="false" ht="15.75" hidden="false" customHeight="true" outlineLevel="0" collapsed="false">
      <c r="C476" s="24"/>
    </row>
    <row r="477" customFormat="false" ht="15.75" hidden="false" customHeight="true" outlineLevel="0" collapsed="false">
      <c r="C477" s="24"/>
    </row>
    <row r="478" customFormat="false" ht="15.75" hidden="false" customHeight="true" outlineLevel="0" collapsed="false">
      <c r="C478" s="24"/>
    </row>
    <row r="479" customFormat="false" ht="15.75" hidden="false" customHeight="true" outlineLevel="0" collapsed="false">
      <c r="C479" s="24"/>
    </row>
    <row r="480" customFormat="false" ht="15.75" hidden="false" customHeight="true" outlineLevel="0" collapsed="false">
      <c r="C480" s="24"/>
    </row>
    <row r="481" customFormat="false" ht="15.75" hidden="false" customHeight="true" outlineLevel="0" collapsed="false">
      <c r="C481" s="24"/>
    </row>
    <row r="482" customFormat="false" ht="15.75" hidden="false" customHeight="true" outlineLevel="0" collapsed="false">
      <c r="C482" s="24"/>
    </row>
    <row r="483" customFormat="false" ht="15.75" hidden="false" customHeight="true" outlineLevel="0" collapsed="false">
      <c r="C483" s="24"/>
    </row>
    <row r="484" customFormat="false" ht="15.75" hidden="false" customHeight="true" outlineLevel="0" collapsed="false">
      <c r="C484" s="24"/>
    </row>
    <row r="485" customFormat="false" ht="15.75" hidden="false" customHeight="true" outlineLevel="0" collapsed="false">
      <c r="C485" s="24"/>
    </row>
    <row r="486" customFormat="false" ht="15.75" hidden="false" customHeight="true" outlineLevel="0" collapsed="false">
      <c r="C486" s="24"/>
    </row>
    <row r="487" customFormat="false" ht="15.75" hidden="false" customHeight="true" outlineLevel="0" collapsed="false">
      <c r="C487" s="24"/>
    </row>
    <row r="488" customFormat="false" ht="15.75" hidden="false" customHeight="true" outlineLevel="0" collapsed="false">
      <c r="C488" s="24"/>
    </row>
    <row r="489" customFormat="false" ht="15.75" hidden="false" customHeight="true" outlineLevel="0" collapsed="false">
      <c r="C489" s="24"/>
    </row>
    <row r="490" customFormat="false" ht="15.75" hidden="false" customHeight="true" outlineLevel="0" collapsed="false">
      <c r="C490" s="24"/>
    </row>
    <row r="491" customFormat="false" ht="15.75" hidden="false" customHeight="true" outlineLevel="0" collapsed="false">
      <c r="C491" s="24"/>
    </row>
    <row r="492" customFormat="false" ht="15.75" hidden="false" customHeight="true" outlineLevel="0" collapsed="false">
      <c r="C492" s="24"/>
    </row>
    <row r="493" customFormat="false" ht="15.75" hidden="false" customHeight="true" outlineLevel="0" collapsed="false">
      <c r="C493" s="24"/>
    </row>
    <row r="494" customFormat="false" ht="15.75" hidden="false" customHeight="true" outlineLevel="0" collapsed="false">
      <c r="C494" s="24"/>
    </row>
    <row r="495" customFormat="false" ht="15.75" hidden="false" customHeight="true" outlineLevel="0" collapsed="false">
      <c r="C495" s="24"/>
    </row>
    <row r="496" customFormat="false" ht="15.75" hidden="false" customHeight="true" outlineLevel="0" collapsed="false">
      <c r="C496" s="24"/>
    </row>
    <row r="497" customFormat="false" ht="15.75" hidden="false" customHeight="true" outlineLevel="0" collapsed="false">
      <c r="C497" s="24"/>
    </row>
    <row r="498" customFormat="false" ht="15.75" hidden="false" customHeight="true" outlineLevel="0" collapsed="false">
      <c r="C498" s="24"/>
    </row>
    <row r="499" customFormat="false" ht="15.75" hidden="false" customHeight="true" outlineLevel="0" collapsed="false">
      <c r="C499" s="24"/>
    </row>
    <row r="500" customFormat="false" ht="15.75" hidden="false" customHeight="true" outlineLevel="0" collapsed="false">
      <c r="C500" s="24"/>
    </row>
    <row r="501" customFormat="false" ht="15.75" hidden="false" customHeight="true" outlineLevel="0" collapsed="false">
      <c r="C501" s="24"/>
    </row>
    <row r="502" customFormat="false" ht="15.75" hidden="false" customHeight="true" outlineLevel="0" collapsed="false">
      <c r="C502" s="24"/>
    </row>
    <row r="503" customFormat="false" ht="15.75" hidden="false" customHeight="true" outlineLevel="0" collapsed="false">
      <c r="C503" s="24"/>
    </row>
    <row r="504" customFormat="false" ht="15.75" hidden="false" customHeight="true" outlineLevel="0" collapsed="false">
      <c r="C504" s="24"/>
    </row>
    <row r="505" customFormat="false" ht="15.75" hidden="false" customHeight="true" outlineLevel="0" collapsed="false">
      <c r="C505" s="24"/>
    </row>
    <row r="506" customFormat="false" ht="15.75" hidden="false" customHeight="true" outlineLevel="0" collapsed="false">
      <c r="C506" s="24"/>
    </row>
    <row r="507" customFormat="false" ht="15.75" hidden="false" customHeight="true" outlineLevel="0" collapsed="false">
      <c r="C507" s="24"/>
    </row>
    <row r="508" customFormat="false" ht="15.75" hidden="false" customHeight="true" outlineLevel="0" collapsed="false">
      <c r="C508" s="24"/>
    </row>
    <row r="509" customFormat="false" ht="15.75" hidden="false" customHeight="true" outlineLevel="0" collapsed="false">
      <c r="C509" s="24"/>
    </row>
    <row r="510" customFormat="false" ht="15.75" hidden="false" customHeight="true" outlineLevel="0" collapsed="false">
      <c r="C510" s="24"/>
    </row>
    <row r="511" customFormat="false" ht="15.75" hidden="false" customHeight="true" outlineLevel="0" collapsed="false">
      <c r="C511" s="24"/>
    </row>
    <row r="512" customFormat="false" ht="15.75" hidden="false" customHeight="true" outlineLevel="0" collapsed="false">
      <c r="C512" s="24"/>
    </row>
    <row r="513" customFormat="false" ht="15.75" hidden="false" customHeight="true" outlineLevel="0" collapsed="false">
      <c r="C513" s="24"/>
    </row>
    <row r="514" customFormat="false" ht="15.75" hidden="false" customHeight="true" outlineLevel="0" collapsed="false">
      <c r="C514" s="24"/>
    </row>
    <row r="515" customFormat="false" ht="15.75" hidden="false" customHeight="true" outlineLevel="0" collapsed="false">
      <c r="C515" s="24"/>
    </row>
    <row r="516" customFormat="false" ht="15.75" hidden="false" customHeight="true" outlineLevel="0" collapsed="false">
      <c r="C516" s="24"/>
    </row>
    <row r="517" customFormat="false" ht="15.75" hidden="false" customHeight="true" outlineLevel="0" collapsed="false">
      <c r="C517" s="24"/>
    </row>
    <row r="518" customFormat="false" ht="15.75" hidden="false" customHeight="true" outlineLevel="0" collapsed="false">
      <c r="C518" s="24"/>
    </row>
    <row r="519" customFormat="false" ht="15.75" hidden="false" customHeight="true" outlineLevel="0" collapsed="false">
      <c r="C519" s="24"/>
    </row>
    <row r="520" customFormat="false" ht="15.75" hidden="false" customHeight="true" outlineLevel="0" collapsed="false">
      <c r="C520" s="24"/>
    </row>
    <row r="521" customFormat="false" ht="15.75" hidden="false" customHeight="true" outlineLevel="0" collapsed="false">
      <c r="C521" s="24"/>
    </row>
    <row r="522" customFormat="false" ht="15.75" hidden="false" customHeight="true" outlineLevel="0" collapsed="false">
      <c r="C522" s="24"/>
    </row>
    <row r="523" customFormat="false" ht="15.75" hidden="false" customHeight="true" outlineLevel="0" collapsed="false">
      <c r="C523" s="24"/>
    </row>
    <row r="524" customFormat="false" ht="15.75" hidden="false" customHeight="true" outlineLevel="0" collapsed="false">
      <c r="C524" s="24"/>
    </row>
    <row r="525" customFormat="false" ht="15.75" hidden="false" customHeight="true" outlineLevel="0" collapsed="false">
      <c r="C525" s="24"/>
    </row>
    <row r="526" customFormat="false" ht="15.75" hidden="false" customHeight="true" outlineLevel="0" collapsed="false">
      <c r="C526" s="24"/>
    </row>
    <row r="527" customFormat="false" ht="15.75" hidden="false" customHeight="true" outlineLevel="0" collapsed="false">
      <c r="C527" s="24"/>
    </row>
    <row r="528" customFormat="false" ht="15.75" hidden="false" customHeight="true" outlineLevel="0" collapsed="false">
      <c r="C528" s="24"/>
    </row>
    <row r="529" customFormat="false" ht="15.75" hidden="false" customHeight="true" outlineLevel="0" collapsed="false">
      <c r="C529" s="24"/>
    </row>
    <row r="530" customFormat="false" ht="15.75" hidden="false" customHeight="true" outlineLevel="0" collapsed="false">
      <c r="C530" s="24"/>
    </row>
    <row r="531" customFormat="false" ht="15.75" hidden="false" customHeight="true" outlineLevel="0" collapsed="false">
      <c r="C531" s="24"/>
    </row>
    <row r="532" customFormat="false" ht="15.75" hidden="false" customHeight="true" outlineLevel="0" collapsed="false">
      <c r="C532" s="24"/>
    </row>
    <row r="533" customFormat="false" ht="15.75" hidden="false" customHeight="true" outlineLevel="0" collapsed="false">
      <c r="C533" s="24"/>
    </row>
    <row r="534" customFormat="false" ht="15.75" hidden="false" customHeight="true" outlineLevel="0" collapsed="false">
      <c r="C534" s="24"/>
    </row>
    <row r="535" customFormat="false" ht="15.75" hidden="false" customHeight="true" outlineLevel="0" collapsed="false">
      <c r="C535" s="24"/>
    </row>
    <row r="536" customFormat="false" ht="15.75" hidden="false" customHeight="true" outlineLevel="0" collapsed="false">
      <c r="C536" s="24"/>
    </row>
    <row r="537" customFormat="false" ht="15.75" hidden="false" customHeight="true" outlineLevel="0" collapsed="false">
      <c r="C537" s="24"/>
    </row>
    <row r="538" customFormat="false" ht="15.75" hidden="false" customHeight="true" outlineLevel="0" collapsed="false">
      <c r="C538" s="24"/>
    </row>
    <row r="539" customFormat="false" ht="15.75" hidden="false" customHeight="true" outlineLevel="0" collapsed="false">
      <c r="C539" s="24"/>
    </row>
    <row r="540" customFormat="false" ht="15.75" hidden="false" customHeight="true" outlineLevel="0" collapsed="false">
      <c r="C540" s="24"/>
    </row>
    <row r="541" customFormat="false" ht="15.75" hidden="false" customHeight="true" outlineLevel="0" collapsed="false">
      <c r="C541" s="24"/>
    </row>
    <row r="542" customFormat="false" ht="15.75" hidden="false" customHeight="true" outlineLevel="0" collapsed="false">
      <c r="C542" s="24"/>
    </row>
    <row r="543" customFormat="false" ht="15.75" hidden="false" customHeight="true" outlineLevel="0" collapsed="false">
      <c r="C543" s="24"/>
    </row>
    <row r="544" customFormat="false" ht="15.75" hidden="false" customHeight="true" outlineLevel="0" collapsed="false">
      <c r="C544" s="24"/>
    </row>
    <row r="545" customFormat="false" ht="15.75" hidden="false" customHeight="true" outlineLevel="0" collapsed="false">
      <c r="C545" s="24"/>
    </row>
    <row r="546" customFormat="false" ht="15.75" hidden="false" customHeight="true" outlineLevel="0" collapsed="false">
      <c r="C546" s="24"/>
    </row>
    <row r="547" customFormat="false" ht="15.75" hidden="false" customHeight="true" outlineLevel="0" collapsed="false">
      <c r="C547" s="24"/>
    </row>
    <row r="548" customFormat="false" ht="15.75" hidden="false" customHeight="true" outlineLevel="0" collapsed="false">
      <c r="C548" s="24"/>
    </row>
    <row r="549" customFormat="false" ht="15.75" hidden="false" customHeight="true" outlineLevel="0" collapsed="false">
      <c r="C549" s="24"/>
    </row>
    <row r="550" customFormat="false" ht="15.75" hidden="false" customHeight="true" outlineLevel="0" collapsed="false">
      <c r="C550" s="24"/>
    </row>
    <row r="551" customFormat="false" ht="15.75" hidden="false" customHeight="true" outlineLevel="0" collapsed="false">
      <c r="C551" s="24"/>
    </row>
    <row r="552" customFormat="false" ht="15.75" hidden="false" customHeight="true" outlineLevel="0" collapsed="false">
      <c r="C552" s="24"/>
    </row>
    <row r="553" customFormat="false" ht="15.75" hidden="false" customHeight="true" outlineLevel="0" collapsed="false">
      <c r="C553" s="24"/>
    </row>
    <row r="554" customFormat="false" ht="15.75" hidden="false" customHeight="true" outlineLevel="0" collapsed="false">
      <c r="C554" s="24"/>
    </row>
    <row r="555" customFormat="false" ht="15.75" hidden="false" customHeight="true" outlineLevel="0" collapsed="false">
      <c r="C555" s="24"/>
    </row>
    <row r="556" customFormat="false" ht="15.75" hidden="false" customHeight="true" outlineLevel="0" collapsed="false">
      <c r="C556" s="24"/>
    </row>
    <row r="557" customFormat="false" ht="15.75" hidden="false" customHeight="true" outlineLevel="0" collapsed="false">
      <c r="C557" s="24"/>
    </row>
    <row r="558" customFormat="false" ht="15.75" hidden="false" customHeight="true" outlineLevel="0" collapsed="false">
      <c r="C558" s="24"/>
    </row>
    <row r="559" customFormat="false" ht="15.75" hidden="false" customHeight="true" outlineLevel="0" collapsed="false">
      <c r="C559" s="24"/>
    </row>
    <row r="560" customFormat="false" ht="15.75" hidden="false" customHeight="true" outlineLevel="0" collapsed="false">
      <c r="C560" s="24"/>
    </row>
    <row r="561" customFormat="false" ht="15.75" hidden="false" customHeight="true" outlineLevel="0" collapsed="false">
      <c r="C561" s="24"/>
    </row>
    <row r="562" customFormat="false" ht="15.75" hidden="false" customHeight="true" outlineLevel="0" collapsed="false">
      <c r="C562" s="24"/>
    </row>
    <row r="563" customFormat="false" ht="15.75" hidden="false" customHeight="true" outlineLevel="0" collapsed="false">
      <c r="C563" s="24"/>
    </row>
    <row r="564" customFormat="false" ht="15.75" hidden="false" customHeight="true" outlineLevel="0" collapsed="false">
      <c r="C564" s="24"/>
    </row>
    <row r="565" customFormat="false" ht="15.75" hidden="false" customHeight="true" outlineLevel="0" collapsed="false">
      <c r="C565" s="24"/>
    </row>
    <row r="566" customFormat="false" ht="15.75" hidden="false" customHeight="true" outlineLevel="0" collapsed="false">
      <c r="C566" s="24"/>
    </row>
    <row r="567" customFormat="false" ht="15.75" hidden="false" customHeight="true" outlineLevel="0" collapsed="false">
      <c r="C567" s="24"/>
    </row>
    <row r="568" customFormat="false" ht="15.75" hidden="false" customHeight="true" outlineLevel="0" collapsed="false">
      <c r="C568" s="24"/>
    </row>
    <row r="569" customFormat="false" ht="15.75" hidden="false" customHeight="true" outlineLevel="0" collapsed="false">
      <c r="C569" s="24"/>
    </row>
    <row r="570" customFormat="false" ht="15.75" hidden="false" customHeight="true" outlineLevel="0" collapsed="false">
      <c r="C570" s="24"/>
    </row>
    <row r="571" customFormat="false" ht="15.75" hidden="false" customHeight="true" outlineLevel="0" collapsed="false">
      <c r="C571" s="24"/>
    </row>
    <row r="572" customFormat="false" ht="15.75" hidden="false" customHeight="true" outlineLevel="0" collapsed="false">
      <c r="C572" s="24"/>
    </row>
    <row r="573" customFormat="false" ht="15.75" hidden="false" customHeight="true" outlineLevel="0" collapsed="false">
      <c r="C573" s="24"/>
    </row>
    <row r="574" customFormat="false" ht="15.75" hidden="false" customHeight="true" outlineLevel="0" collapsed="false">
      <c r="C574" s="24"/>
    </row>
    <row r="575" customFormat="false" ht="15.75" hidden="false" customHeight="true" outlineLevel="0" collapsed="false">
      <c r="C575" s="24"/>
    </row>
    <row r="576" customFormat="false" ht="15.75" hidden="false" customHeight="true" outlineLevel="0" collapsed="false">
      <c r="C576" s="24"/>
    </row>
    <row r="577" customFormat="false" ht="15.75" hidden="false" customHeight="true" outlineLevel="0" collapsed="false">
      <c r="C577" s="24"/>
    </row>
    <row r="578" customFormat="false" ht="15.75" hidden="false" customHeight="true" outlineLevel="0" collapsed="false">
      <c r="C578" s="24"/>
    </row>
    <row r="579" customFormat="false" ht="15.75" hidden="false" customHeight="true" outlineLevel="0" collapsed="false">
      <c r="C579" s="24"/>
    </row>
    <row r="580" customFormat="false" ht="15.75" hidden="false" customHeight="true" outlineLevel="0" collapsed="false">
      <c r="C580" s="24"/>
    </row>
    <row r="581" customFormat="false" ht="15.75" hidden="false" customHeight="true" outlineLevel="0" collapsed="false">
      <c r="C581" s="24"/>
    </row>
    <row r="582" customFormat="false" ht="15.75" hidden="false" customHeight="true" outlineLevel="0" collapsed="false">
      <c r="C582" s="24"/>
    </row>
    <row r="583" customFormat="false" ht="15.75" hidden="false" customHeight="true" outlineLevel="0" collapsed="false">
      <c r="C583" s="24"/>
    </row>
    <row r="584" customFormat="false" ht="15.75" hidden="false" customHeight="true" outlineLevel="0" collapsed="false">
      <c r="C584" s="24"/>
    </row>
    <row r="585" customFormat="false" ht="15.75" hidden="false" customHeight="true" outlineLevel="0" collapsed="false">
      <c r="C585" s="24"/>
    </row>
    <row r="586" customFormat="false" ht="15.75" hidden="false" customHeight="true" outlineLevel="0" collapsed="false">
      <c r="C586" s="24"/>
    </row>
    <row r="587" customFormat="false" ht="15.75" hidden="false" customHeight="true" outlineLevel="0" collapsed="false">
      <c r="C587" s="24"/>
    </row>
    <row r="588" customFormat="false" ht="15.75" hidden="false" customHeight="true" outlineLevel="0" collapsed="false">
      <c r="C588" s="24"/>
    </row>
    <row r="589" customFormat="false" ht="15.75" hidden="false" customHeight="true" outlineLevel="0" collapsed="false">
      <c r="C589" s="24"/>
    </row>
    <row r="590" customFormat="false" ht="15.75" hidden="false" customHeight="true" outlineLevel="0" collapsed="false">
      <c r="C590" s="24"/>
    </row>
    <row r="591" customFormat="false" ht="15.75" hidden="false" customHeight="true" outlineLevel="0" collapsed="false">
      <c r="C591" s="24"/>
    </row>
    <row r="592" customFormat="false" ht="15.75" hidden="false" customHeight="true" outlineLevel="0" collapsed="false">
      <c r="C592" s="24"/>
    </row>
    <row r="593" customFormat="false" ht="15.75" hidden="false" customHeight="true" outlineLevel="0" collapsed="false">
      <c r="C593" s="24"/>
    </row>
    <row r="594" customFormat="false" ht="15.75" hidden="false" customHeight="true" outlineLevel="0" collapsed="false">
      <c r="C594" s="24"/>
    </row>
    <row r="595" customFormat="false" ht="15.75" hidden="false" customHeight="true" outlineLevel="0" collapsed="false">
      <c r="C595" s="24"/>
    </row>
    <row r="596" customFormat="false" ht="15.75" hidden="false" customHeight="true" outlineLevel="0" collapsed="false">
      <c r="C596" s="24"/>
    </row>
    <row r="597" customFormat="false" ht="15.75" hidden="false" customHeight="true" outlineLevel="0" collapsed="false">
      <c r="C597" s="24"/>
    </row>
    <row r="598" customFormat="false" ht="15.75" hidden="false" customHeight="true" outlineLevel="0" collapsed="false">
      <c r="C598" s="24"/>
    </row>
    <row r="599" customFormat="false" ht="15.75" hidden="false" customHeight="true" outlineLevel="0" collapsed="false">
      <c r="C599" s="24"/>
    </row>
    <row r="600" customFormat="false" ht="15.75" hidden="false" customHeight="true" outlineLevel="0" collapsed="false">
      <c r="C600" s="24"/>
    </row>
    <row r="601" customFormat="false" ht="15.75" hidden="false" customHeight="true" outlineLevel="0" collapsed="false">
      <c r="C601" s="24"/>
    </row>
    <row r="602" customFormat="false" ht="15.75" hidden="false" customHeight="true" outlineLevel="0" collapsed="false">
      <c r="C602" s="24"/>
    </row>
    <row r="603" customFormat="false" ht="15.75" hidden="false" customHeight="true" outlineLevel="0" collapsed="false">
      <c r="C603" s="24"/>
    </row>
    <row r="604" customFormat="false" ht="15.75" hidden="false" customHeight="true" outlineLevel="0" collapsed="false">
      <c r="C604" s="24"/>
    </row>
    <row r="605" customFormat="false" ht="15.75" hidden="false" customHeight="true" outlineLevel="0" collapsed="false">
      <c r="C605" s="24"/>
    </row>
    <row r="606" customFormat="false" ht="15.75" hidden="false" customHeight="true" outlineLevel="0" collapsed="false">
      <c r="C606" s="24"/>
    </row>
    <row r="607" customFormat="false" ht="15.75" hidden="false" customHeight="true" outlineLevel="0" collapsed="false">
      <c r="C607" s="24"/>
    </row>
    <row r="608" customFormat="false" ht="15.75" hidden="false" customHeight="true" outlineLevel="0" collapsed="false">
      <c r="C608" s="24"/>
    </row>
    <row r="609" customFormat="false" ht="15.75" hidden="false" customHeight="true" outlineLevel="0" collapsed="false">
      <c r="C609" s="24"/>
    </row>
    <row r="610" customFormat="false" ht="15.75" hidden="false" customHeight="true" outlineLevel="0" collapsed="false">
      <c r="C610" s="24"/>
    </row>
    <row r="611" customFormat="false" ht="15.75" hidden="false" customHeight="true" outlineLevel="0" collapsed="false">
      <c r="C611" s="24"/>
    </row>
    <row r="612" customFormat="false" ht="15.75" hidden="false" customHeight="true" outlineLevel="0" collapsed="false">
      <c r="C612" s="24"/>
    </row>
    <row r="613" customFormat="false" ht="15.75" hidden="false" customHeight="true" outlineLevel="0" collapsed="false">
      <c r="C613" s="24"/>
    </row>
    <row r="614" customFormat="false" ht="15.75" hidden="false" customHeight="true" outlineLevel="0" collapsed="false">
      <c r="C614" s="24"/>
    </row>
    <row r="615" customFormat="false" ht="15.75" hidden="false" customHeight="true" outlineLevel="0" collapsed="false">
      <c r="C615" s="24"/>
    </row>
    <row r="616" customFormat="false" ht="15.75" hidden="false" customHeight="true" outlineLevel="0" collapsed="false">
      <c r="C616" s="24"/>
    </row>
    <row r="617" customFormat="false" ht="15.75" hidden="false" customHeight="true" outlineLevel="0" collapsed="false">
      <c r="C617" s="24"/>
    </row>
    <row r="618" customFormat="false" ht="15.75" hidden="false" customHeight="true" outlineLevel="0" collapsed="false">
      <c r="C618" s="24"/>
    </row>
    <row r="619" customFormat="false" ht="15.75" hidden="false" customHeight="true" outlineLevel="0" collapsed="false">
      <c r="C619" s="24"/>
    </row>
    <row r="620" customFormat="false" ht="15.75" hidden="false" customHeight="true" outlineLevel="0" collapsed="false">
      <c r="C620" s="24"/>
    </row>
    <row r="621" customFormat="false" ht="15.75" hidden="false" customHeight="true" outlineLevel="0" collapsed="false">
      <c r="C621" s="24"/>
    </row>
    <row r="622" customFormat="false" ht="15.75" hidden="false" customHeight="true" outlineLevel="0" collapsed="false">
      <c r="C622" s="24"/>
    </row>
    <row r="623" customFormat="false" ht="15.75" hidden="false" customHeight="true" outlineLevel="0" collapsed="false">
      <c r="C623" s="24"/>
    </row>
    <row r="624" customFormat="false" ht="15.75" hidden="false" customHeight="true" outlineLevel="0" collapsed="false">
      <c r="C624" s="24"/>
    </row>
    <row r="625" customFormat="false" ht="15.75" hidden="false" customHeight="true" outlineLevel="0" collapsed="false">
      <c r="C625" s="24"/>
    </row>
    <row r="626" customFormat="false" ht="15.75" hidden="false" customHeight="true" outlineLevel="0" collapsed="false">
      <c r="C626" s="24"/>
    </row>
    <row r="627" customFormat="false" ht="15.75" hidden="false" customHeight="true" outlineLevel="0" collapsed="false">
      <c r="C627" s="24"/>
    </row>
    <row r="628" customFormat="false" ht="15.75" hidden="false" customHeight="true" outlineLevel="0" collapsed="false">
      <c r="C628" s="24"/>
    </row>
    <row r="629" customFormat="false" ht="15.75" hidden="false" customHeight="true" outlineLevel="0" collapsed="false">
      <c r="C629" s="24"/>
    </row>
    <row r="630" customFormat="false" ht="15.75" hidden="false" customHeight="true" outlineLevel="0" collapsed="false">
      <c r="C630" s="24"/>
    </row>
    <row r="631" customFormat="false" ht="15.75" hidden="false" customHeight="true" outlineLevel="0" collapsed="false">
      <c r="C631" s="24"/>
    </row>
    <row r="632" customFormat="false" ht="15.75" hidden="false" customHeight="true" outlineLevel="0" collapsed="false">
      <c r="C632" s="24"/>
    </row>
    <row r="633" customFormat="false" ht="15.75" hidden="false" customHeight="true" outlineLevel="0" collapsed="false">
      <c r="C633" s="24"/>
    </row>
    <row r="634" customFormat="false" ht="15.75" hidden="false" customHeight="true" outlineLevel="0" collapsed="false">
      <c r="C634" s="24"/>
    </row>
    <row r="635" customFormat="false" ht="15.75" hidden="false" customHeight="true" outlineLevel="0" collapsed="false">
      <c r="C635" s="24"/>
    </row>
    <row r="636" customFormat="false" ht="15.75" hidden="false" customHeight="true" outlineLevel="0" collapsed="false">
      <c r="C636" s="24"/>
    </row>
    <row r="637" customFormat="false" ht="15.75" hidden="false" customHeight="true" outlineLevel="0" collapsed="false">
      <c r="C637" s="24"/>
    </row>
    <row r="638" customFormat="false" ht="15.75" hidden="false" customHeight="true" outlineLevel="0" collapsed="false">
      <c r="C638" s="24"/>
    </row>
    <row r="639" customFormat="false" ht="15.75" hidden="false" customHeight="true" outlineLevel="0" collapsed="false">
      <c r="C639" s="24"/>
    </row>
    <row r="640" customFormat="false" ht="15.75" hidden="false" customHeight="true" outlineLevel="0" collapsed="false">
      <c r="C640" s="24"/>
    </row>
    <row r="641" customFormat="false" ht="15.75" hidden="false" customHeight="true" outlineLevel="0" collapsed="false">
      <c r="C641" s="24"/>
    </row>
    <row r="642" customFormat="false" ht="15.75" hidden="false" customHeight="true" outlineLevel="0" collapsed="false">
      <c r="C642" s="24"/>
    </row>
    <row r="643" customFormat="false" ht="15.75" hidden="false" customHeight="true" outlineLevel="0" collapsed="false">
      <c r="C643" s="24"/>
    </row>
    <row r="644" customFormat="false" ht="15.75" hidden="false" customHeight="true" outlineLevel="0" collapsed="false">
      <c r="C644" s="24"/>
    </row>
    <row r="645" customFormat="false" ht="15.75" hidden="false" customHeight="true" outlineLevel="0" collapsed="false">
      <c r="C645" s="24"/>
    </row>
    <row r="646" customFormat="false" ht="15.75" hidden="false" customHeight="true" outlineLevel="0" collapsed="false">
      <c r="C646" s="24"/>
    </row>
    <row r="647" customFormat="false" ht="15.75" hidden="false" customHeight="true" outlineLevel="0" collapsed="false">
      <c r="C647" s="24"/>
    </row>
    <row r="648" customFormat="false" ht="15.75" hidden="false" customHeight="true" outlineLevel="0" collapsed="false">
      <c r="C648" s="24"/>
    </row>
    <row r="649" customFormat="false" ht="15.75" hidden="false" customHeight="true" outlineLevel="0" collapsed="false">
      <c r="C649" s="24"/>
    </row>
    <row r="650" customFormat="false" ht="15.75" hidden="false" customHeight="true" outlineLevel="0" collapsed="false">
      <c r="C650" s="24"/>
    </row>
    <row r="651" customFormat="false" ht="15.75" hidden="false" customHeight="true" outlineLevel="0" collapsed="false">
      <c r="C651" s="24"/>
    </row>
    <row r="652" customFormat="false" ht="15.75" hidden="false" customHeight="true" outlineLevel="0" collapsed="false">
      <c r="C652" s="24"/>
    </row>
    <row r="653" customFormat="false" ht="15.75" hidden="false" customHeight="true" outlineLevel="0" collapsed="false">
      <c r="C653" s="24"/>
    </row>
    <row r="654" customFormat="false" ht="15.75" hidden="false" customHeight="true" outlineLevel="0" collapsed="false">
      <c r="C654" s="24"/>
    </row>
    <row r="655" customFormat="false" ht="15.75" hidden="false" customHeight="true" outlineLevel="0" collapsed="false">
      <c r="C655" s="24"/>
    </row>
    <row r="656" customFormat="false" ht="15.75" hidden="false" customHeight="true" outlineLevel="0" collapsed="false">
      <c r="C656" s="24"/>
    </row>
    <row r="657" customFormat="false" ht="15.75" hidden="false" customHeight="true" outlineLevel="0" collapsed="false">
      <c r="C657" s="24"/>
    </row>
    <row r="658" customFormat="false" ht="15.75" hidden="false" customHeight="true" outlineLevel="0" collapsed="false">
      <c r="C658" s="24"/>
    </row>
    <row r="659" customFormat="false" ht="15.75" hidden="false" customHeight="true" outlineLevel="0" collapsed="false">
      <c r="C659" s="24"/>
    </row>
    <row r="660" customFormat="false" ht="15.75" hidden="false" customHeight="true" outlineLevel="0" collapsed="false">
      <c r="C660" s="24"/>
    </row>
    <row r="661" customFormat="false" ht="15.75" hidden="false" customHeight="true" outlineLevel="0" collapsed="false">
      <c r="C661" s="24"/>
    </row>
    <row r="662" customFormat="false" ht="15.75" hidden="false" customHeight="true" outlineLevel="0" collapsed="false">
      <c r="C662" s="24"/>
    </row>
    <row r="663" customFormat="false" ht="15.75" hidden="false" customHeight="true" outlineLevel="0" collapsed="false">
      <c r="C663" s="24"/>
    </row>
    <row r="664" customFormat="false" ht="15.75" hidden="false" customHeight="true" outlineLevel="0" collapsed="false">
      <c r="C664" s="24"/>
    </row>
    <row r="665" customFormat="false" ht="15.75" hidden="false" customHeight="true" outlineLevel="0" collapsed="false">
      <c r="C665" s="24"/>
    </row>
    <row r="666" customFormat="false" ht="15.75" hidden="false" customHeight="true" outlineLevel="0" collapsed="false">
      <c r="C666" s="24"/>
    </row>
    <row r="667" customFormat="false" ht="15.75" hidden="false" customHeight="true" outlineLevel="0" collapsed="false">
      <c r="C667" s="24"/>
    </row>
    <row r="668" customFormat="false" ht="15.75" hidden="false" customHeight="true" outlineLevel="0" collapsed="false">
      <c r="C668" s="24"/>
    </row>
    <row r="669" customFormat="false" ht="15.75" hidden="false" customHeight="true" outlineLevel="0" collapsed="false">
      <c r="C669" s="24"/>
    </row>
    <row r="670" customFormat="false" ht="15.75" hidden="false" customHeight="true" outlineLevel="0" collapsed="false">
      <c r="C670" s="24"/>
    </row>
    <row r="671" customFormat="false" ht="15.75" hidden="false" customHeight="true" outlineLevel="0" collapsed="false">
      <c r="C671" s="24"/>
    </row>
    <row r="672" customFormat="false" ht="15.75" hidden="false" customHeight="true" outlineLevel="0" collapsed="false">
      <c r="C672" s="24"/>
    </row>
    <row r="673" customFormat="false" ht="15.75" hidden="false" customHeight="true" outlineLevel="0" collapsed="false">
      <c r="C673" s="24"/>
    </row>
    <row r="674" customFormat="false" ht="15.75" hidden="false" customHeight="true" outlineLevel="0" collapsed="false">
      <c r="C674" s="24"/>
    </row>
    <row r="675" customFormat="false" ht="15.75" hidden="false" customHeight="true" outlineLevel="0" collapsed="false">
      <c r="C675" s="24"/>
    </row>
    <row r="676" customFormat="false" ht="15.75" hidden="false" customHeight="true" outlineLevel="0" collapsed="false">
      <c r="C676" s="24"/>
    </row>
    <row r="677" customFormat="false" ht="15.75" hidden="false" customHeight="true" outlineLevel="0" collapsed="false">
      <c r="C677" s="24"/>
    </row>
    <row r="678" customFormat="false" ht="15.75" hidden="false" customHeight="true" outlineLevel="0" collapsed="false">
      <c r="C678" s="24"/>
    </row>
    <row r="679" customFormat="false" ht="15.75" hidden="false" customHeight="true" outlineLevel="0" collapsed="false">
      <c r="C679" s="24"/>
    </row>
    <row r="680" customFormat="false" ht="15.75" hidden="false" customHeight="true" outlineLevel="0" collapsed="false">
      <c r="C680" s="24"/>
    </row>
    <row r="681" customFormat="false" ht="15.75" hidden="false" customHeight="true" outlineLevel="0" collapsed="false">
      <c r="C681" s="24"/>
    </row>
    <row r="682" customFormat="false" ht="15.75" hidden="false" customHeight="true" outlineLevel="0" collapsed="false">
      <c r="C682" s="24"/>
    </row>
    <row r="683" customFormat="false" ht="15.75" hidden="false" customHeight="true" outlineLevel="0" collapsed="false">
      <c r="C683" s="24"/>
    </row>
    <row r="684" customFormat="false" ht="15.75" hidden="false" customHeight="true" outlineLevel="0" collapsed="false">
      <c r="C684" s="24"/>
    </row>
    <row r="685" customFormat="false" ht="15.75" hidden="false" customHeight="true" outlineLevel="0" collapsed="false">
      <c r="C685" s="24"/>
    </row>
    <row r="686" customFormat="false" ht="15.75" hidden="false" customHeight="true" outlineLevel="0" collapsed="false">
      <c r="C686" s="24"/>
    </row>
    <row r="687" customFormat="false" ht="15.75" hidden="false" customHeight="true" outlineLevel="0" collapsed="false">
      <c r="C687" s="24"/>
    </row>
    <row r="688" customFormat="false" ht="15.75" hidden="false" customHeight="true" outlineLevel="0" collapsed="false">
      <c r="C688" s="24"/>
    </row>
    <row r="689" customFormat="false" ht="15.75" hidden="false" customHeight="true" outlineLevel="0" collapsed="false">
      <c r="C689" s="24"/>
    </row>
    <row r="690" customFormat="false" ht="15.75" hidden="false" customHeight="true" outlineLevel="0" collapsed="false">
      <c r="C690" s="24"/>
    </row>
    <row r="691" customFormat="false" ht="15.75" hidden="false" customHeight="true" outlineLevel="0" collapsed="false">
      <c r="C691" s="24"/>
    </row>
    <row r="692" customFormat="false" ht="15.75" hidden="false" customHeight="true" outlineLevel="0" collapsed="false">
      <c r="C692" s="24"/>
    </row>
    <row r="693" customFormat="false" ht="15.75" hidden="false" customHeight="true" outlineLevel="0" collapsed="false">
      <c r="C693" s="24"/>
    </row>
    <row r="694" customFormat="false" ht="15.75" hidden="false" customHeight="true" outlineLevel="0" collapsed="false">
      <c r="C694" s="24"/>
    </row>
    <row r="695" customFormat="false" ht="15.75" hidden="false" customHeight="true" outlineLevel="0" collapsed="false">
      <c r="C695" s="24"/>
    </row>
    <row r="696" customFormat="false" ht="15.75" hidden="false" customHeight="true" outlineLevel="0" collapsed="false">
      <c r="C696" s="24"/>
    </row>
    <row r="697" customFormat="false" ht="15.75" hidden="false" customHeight="true" outlineLevel="0" collapsed="false">
      <c r="C697" s="24"/>
    </row>
    <row r="698" customFormat="false" ht="15.75" hidden="false" customHeight="true" outlineLevel="0" collapsed="false">
      <c r="C698" s="24"/>
    </row>
    <row r="699" customFormat="false" ht="15.75" hidden="false" customHeight="true" outlineLevel="0" collapsed="false">
      <c r="C699" s="24"/>
    </row>
    <row r="700" customFormat="false" ht="15.75" hidden="false" customHeight="true" outlineLevel="0" collapsed="false">
      <c r="C700" s="24"/>
    </row>
    <row r="701" customFormat="false" ht="15.75" hidden="false" customHeight="true" outlineLevel="0" collapsed="false">
      <c r="C701" s="24"/>
    </row>
    <row r="702" customFormat="false" ht="15.75" hidden="false" customHeight="true" outlineLevel="0" collapsed="false">
      <c r="C702" s="24"/>
    </row>
    <row r="703" customFormat="false" ht="15.75" hidden="false" customHeight="true" outlineLevel="0" collapsed="false">
      <c r="C703" s="24"/>
    </row>
    <row r="704" customFormat="false" ht="15.75" hidden="false" customHeight="true" outlineLevel="0" collapsed="false">
      <c r="C704" s="24"/>
    </row>
    <row r="705" customFormat="false" ht="15.75" hidden="false" customHeight="true" outlineLevel="0" collapsed="false">
      <c r="C705" s="24"/>
    </row>
    <row r="706" customFormat="false" ht="15.75" hidden="false" customHeight="true" outlineLevel="0" collapsed="false">
      <c r="C706" s="24"/>
    </row>
    <row r="707" customFormat="false" ht="15.75" hidden="false" customHeight="true" outlineLevel="0" collapsed="false">
      <c r="C707" s="24"/>
    </row>
    <row r="708" customFormat="false" ht="15.75" hidden="false" customHeight="true" outlineLevel="0" collapsed="false">
      <c r="C708" s="24"/>
    </row>
    <row r="709" customFormat="false" ht="15.75" hidden="false" customHeight="true" outlineLevel="0" collapsed="false">
      <c r="C709" s="24"/>
    </row>
    <row r="710" customFormat="false" ht="15.75" hidden="false" customHeight="true" outlineLevel="0" collapsed="false">
      <c r="C710" s="24"/>
    </row>
    <row r="711" customFormat="false" ht="15.75" hidden="false" customHeight="true" outlineLevel="0" collapsed="false">
      <c r="C711" s="24"/>
    </row>
    <row r="712" customFormat="false" ht="15.75" hidden="false" customHeight="true" outlineLevel="0" collapsed="false">
      <c r="C712" s="24"/>
    </row>
    <row r="713" customFormat="false" ht="15.75" hidden="false" customHeight="true" outlineLevel="0" collapsed="false">
      <c r="C713" s="24"/>
    </row>
    <row r="714" customFormat="false" ht="15.75" hidden="false" customHeight="true" outlineLevel="0" collapsed="false">
      <c r="C714" s="24"/>
    </row>
    <row r="715" customFormat="false" ht="15.75" hidden="false" customHeight="true" outlineLevel="0" collapsed="false">
      <c r="C715" s="24"/>
    </row>
    <row r="716" customFormat="false" ht="15.75" hidden="false" customHeight="true" outlineLevel="0" collapsed="false">
      <c r="C716" s="24"/>
    </row>
    <row r="717" customFormat="false" ht="15.75" hidden="false" customHeight="true" outlineLevel="0" collapsed="false">
      <c r="C717" s="24"/>
    </row>
    <row r="718" customFormat="false" ht="15.75" hidden="false" customHeight="true" outlineLevel="0" collapsed="false">
      <c r="C718" s="24"/>
    </row>
    <row r="719" customFormat="false" ht="15.75" hidden="false" customHeight="true" outlineLevel="0" collapsed="false">
      <c r="C719" s="24"/>
    </row>
    <row r="720" customFormat="false" ht="15.75" hidden="false" customHeight="true" outlineLevel="0" collapsed="false">
      <c r="C720" s="24"/>
    </row>
    <row r="721" customFormat="false" ht="15.75" hidden="false" customHeight="true" outlineLevel="0" collapsed="false">
      <c r="C721" s="24"/>
    </row>
    <row r="722" customFormat="false" ht="15.75" hidden="false" customHeight="true" outlineLevel="0" collapsed="false">
      <c r="C722" s="24"/>
    </row>
    <row r="723" customFormat="false" ht="15.75" hidden="false" customHeight="true" outlineLevel="0" collapsed="false">
      <c r="C723" s="24"/>
    </row>
    <row r="724" customFormat="false" ht="15.75" hidden="false" customHeight="true" outlineLevel="0" collapsed="false">
      <c r="C724" s="24"/>
    </row>
    <row r="725" customFormat="false" ht="15.75" hidden="false" customHeight="true" outlineLevel="0" collapsed="false">
      <c r="C725" s="24"/>
    </row>
    <row r="726" customFormat="false" ht="15.75" hidden="false" customHeight="true" outlineLevel="0" collapsed="false">
      <c r="C726" s="24"/>
    </row>
    <row r="727" customFormat="false" ht="15.75" hidden="false" customHeight="true" outlineLevel="0" collapsed="false">
      <c r="C727" s="24"/>
    </row>
    <row r="728" customFormat="false" ht="15.75" hidden="false" customHeight="true" outlineLevel="0" collapsed="false">
      <c r="C728" s="24"/>
    </row>
    <row r="729" customFormat="false" ht="15.75" hidden="false" customHeight="true" outlineLevel="0" collapsed="false">
      <c r="C729" s="24"/>
    </row>
    <row r="730" customFormat="false" ht="15.75" hidden="false" customHeight="true" outlineLevel="0" collapsed="false">
      <c r="C730" s="24"/>
    </row>
    <row r="731" customFormat="false" ht="15.75" hidden="false" customHeight="true" outlineLevel="0" collapsed="false">
      <c r="C731" s="24"/>
    </row>
    <row r="732" customFormat="false" ht="15.75" hidden="false" customHeight="true" outlineLevel="0" collapsed="false">
      <c r="C732" s="24"/>
    </row>
    <row r="733" customFormat="false" ht="15.75" hidden="false" customHeight="true" outlineLevel="0" collapsed="false">
      <c r="C733" s="24"/>
    </row>
    <row r="734" customFormat="false" ht="15.75" hidden="false" customHeight="true" outlineLevel="0" collapsed="false">
      <c r="C734" s="24"/>
    </row>
    <row r="735" customFormat="false" ht="15.75" hidden="false" customHeight="true" outlineLevel="0" collapsed="false">
      <c r="C735" s="24"/>
    </row>
    <row r="736" customFormat="false" ht="15.75" hidden="false" customHeight="true" outlineLevel="0" collapsed="false">
      <c r="C736" s="24"/>
    </row>
    <row r="737" customFormat="false" ht="15.75" hidden="false" customHeight="true" outlineLevel="0" collapsed="false">
      <c r="C737" s="24"/>
    </row>
    <row r="738" customFormat="false" ht="15.75" hidden="false" customHeight="true" outlineLevel="0" collapsed="false">
      <c r="C738" s="24"/>
    </row>
    <row r="739" customFormat="false" ht="15.75" hidden="false" customHeight="true" outlineLevel="0" collapsed="false">
      <c r="C739" s="24"/>
    </row>
    <row r="740" customFormat="false" ht="15.75" hidden="false" customHeight="true" outlineLevel="0" collapsed="false">
      <c r="C740" s="24"/>
    </row>
    <row r="741" customFormat="false" ht="15.75" hidden="false" customHeight="true" outlineLevel="0" collapsed="false">
      <c r="C741" s="24"/>
    </row>
    <row r="742" customFormat="false" ht="15.75" hidden="false" customHeight="true" outlineLevel="0" collapsed="false">
      <c r="C742" s="24"/>
    </row>
    <row r="743" customFormat="false" ht="15.75" hidden="false" customHeight="true" outlineLevel="0" collapsed="false">
      <c r="C743" s="24"/>
    </row>
    <row r="744" customFormat="false" ht="15.75" hidden="false" customHeight="true" outlineLevel="0" collapsed="false">
      <c r="C744" s="24"/>
    </row>
    <row r="745" customFormat="false" ht="15.75" hidden="false" customHeight="true" outlineLevel="0" collapsed="false">
      <c r="C745" s="24"/>
    </row>
    <row r="746" customFormat="false" ht="15.75" hidden="false" customHeight="true" outlineLevel="0" collapsed="false">
      <c r="C746" s="24"/>
    </row>
    <row r="747" customFormat="false" ht="15.75" hidden="false" customHeight="true" outlineLevel="0" collapsed="false">
      <c r="C747" s="24"/>
    </row>
    <row r="748" customFormat="false" ht="15.75" hidden="false" customHeight="true" outlineLevel="0" collapsed="false">
      <c r="C748" s="24"/>
    </row>
    <row r="749" customFormat="false" ht="15.75" hidden="false" customHeight="true" outlineLevel="0" collapsed="false">
      <c r="C749" s="24"/>
    </row>
    <row r="750" customFormat="false" ht="15.75" hidden="false" customHeight="true" outlineLevel="0" collapsed="false">
      <c r="C750" s="24"/>
    </row>
    <row r="751" customFormat="false" ht="15.75" hidden="false" customHeight="true" outlineLevel="0" collapsed="false">
      <c r="C751" s="24"/>
    </row>
    <row r="752" customFormat="false" ht="15.75" hidden="false" customHeight="true" outlineLevel="0" collapsed="false">
      <c r="C752" s="24"/>
    </row>
    <row r="753" customFormat="false" ht="15.75" hidden="false" customHeight="true" outlineLevel="0" collapsed="false">
      <c r="C753" s="24"/>
    </row>
    <row r="754" customFormat="false" ht="15.75" hidden="false" customHeight="true" outlineLevel="0" collapsed="false">
      <c r="C754" s="24"/>
    </row>
    <row r="755" customFormat="false" ht="15.75" hidden="false" customHeight="true" outlineLevel="0" collapsed="false">
      <c r="C755" s="24"/>
    </row>
    <row r="756" customFormat="false" ht="15.75" hidden="false" customHeight="true" outlineLevel="0" collapsed="false">
      <c r="C756" s="24"/>
    </row>
    <row r="757" customFormat="false" ht="15.75" hidden="false" customHeight="true" outlineLevel="0" collapsed="false">
      <c r="C757" s="24"/>
    </row>
    <row r="758" customFormat="false" ht="15.75" hidden="false" customHeight="true" outlineLevel="0" collapsed="false">
      <c r="C758" s="24"/>
    </row>
    <row r="759" customFormat="false" ht="15.75" hidden="false" customHeight="true" outlineLevel="0" collapsed="false">
      <c r="C759" s="24"/>
    </row>
    <row r="760" customFormat="false" ht="15.75" hidden="false" customHeight="true" outlineLevel="0" collapsed="false">
      <c r="C760" s="24"/>
    </row>
    <row r="761" customFormat="false" ht="15.75" hidden="false" customHeight="true" outlineLevel="0" collapsed="false">
      <c r="C761" s="24"/>
    </row>
    <row r="762" customFormat="false" ht="15.75" hidden="false" customHeight="true" outlineLevel="0" collapsed="false">
      <c r="C762" s="24"/>
    </row>
    <row r="763" customFormat="false" ht="15.75" hidden="false" customHeight="true" outlineLevel="0" collapsed="false">
      <c r="C763" s="24"/>
    </row>
    <row r="764" customFormat="false" ht="15.75" hidden="false" customHeight="true" outlineLevel="0" collapsed="false">
      <c r="C764" s="24"/>
    </row>
    <row r="765" customFormat="false" ht="15.75" hidden="false" customHeight="true" outlineLevel="0" collapsed="false">
      <c r="C765" s="24"/>
    </row>
    <row r="766" customFormat="false" ht="15.75" hidden="false" customHeight="true" outlineLevel="0" collapsed="false">
      <c r="C766" s="24"/>
    </row>
    <row r="767" customFormat="false" ht="15.75" hidden="false" customHeight="true" outlineLevel="0" collapsed="false">
      <c r="C767" s="24"/>
    </row>
    <row r="768" customFormat="false" ht="15.75" hidden="false" customHeight="true" outlineLevel="0" collapsed="false">
      <c r="C768" s="24"/>
    </row>
    <row r="769" customFormat="false" ht="15.75" hidden="false" customHeight="true" outlineLevel="0" collapsed="false">
      <c r="C769" s="24"/>
    </row>
    <row r="770" customFormat="false" ht="15.75" hidden="false" customHeight="true" outlineLevel="0" collapsed="false">
      <c r="C770" s="24"/>
    </row>
    <row r="771" customFormat="false" ht="15.75" hidden="false" customHeight="true" outlineLevel="0" collapsed="false">
      <c r="C771" s="24"/>
    </row>
    <row r="772" customFormat="false" ht="15.75" hidden="false" customHeight="true" outlineLevel="0" collapsed="false">
      <c r="C772" s="24"/>
    </row>
    <row r="773" customFormat="false" ht="15.75" hidden="false" customHeight="true" outlineLevel="0" collapsed="false">
      <c r="C773" s="24"/>
    </row>
    <row r="774" customFormat="false" ht="15.75" hidden="false" customHeight="true" outlineLevel="0" collapsed="false">
      <c r="C774" s="24"/>
    </row>
    <row r="775" customFormat="false" ht="15.75" hidden="false" customHeight="true" outlineLevel="0" collapsed="false">
      <c r="C775" s="24"/>
    </row>
    <row r="776" customFormat="false" ht="15.75" hidden="false" customHeight="true" outlineLevel="0" collapsed="false">
      <c r="C776" s="24"/>
    </row>
    <row r="777" customFormat="false" ht="15.75" hidden="false" customHeight="true" outlineLevel="0" collapsed="false">
      <c r="C777" s="24"/>
    </row>
    <row r="778" customFormat="false" ht="15.75" hidden="false" customHeight="true" outlineLevel="0" collapsed="false">
      <c r="C778" s="24"/>
    </row>
    <row r="779" customFormat="false" ht="15.75" hidden="false" customHeight="true" outlineLevel="0" collapsed="false">
      <c r="C779" s="24"/>
    </row>
    <row r="780" customFormat="false" ht="15.75" hidden="false" customHeight="true" outlineLevel="0" collapsed="false">
      <c r="C780" s="24"/>
    </row>
    <row r="781" customFormat="false" ht="15.75" hidden="false" customHeight="true" outlineLevel="0" collapsed="false">
      <c r="C781" s="24"/>
    </row>
    <row r="782" customFormat="false" ht="15.75" hidden="false" customHeight="true" outlineLevel="0" collapsed="false">
      <c r="C782" s="24"/>
    </row>
    <row r="783" customFormat="false" ht="15.75" hidden="false" customHeight="true" outlineLevel="0" collapsed="false">
      <c r="C783" s="24"/>
    </row>
    <row r="784" customFormat="false" ht="15.75" hidden="false" customHeight="true" outlineLevel="0" collapsed="false">
      <c r="C784" s="24"/>
    </row>
    <row r="785" customFormat="false" ht="15.75" hidden="false" customHeight="true" outlineLevel="0" collapsed="false">
      <c r="C785" s="24"/>
    </row>
    <row r="786" customFormat="false" ht="15.75" hidden="false" customHeight="true" outlineLevel="0" collapsed="false">
      <c r="C786" s="24"/>
    </row>
    <row r="787" customFormat="false" ht="15.75" hidden="false" customHeight="true" outlineLevel="0" collapsed="false">
      <c r="C787" s="24"/>
    </row>
    <row r="788" customFormat="false" ht="15.75" hidden="false" customHeight="true" outlineLevel="0" collapsed="false">
      <c r="C788" s="24"/>
    </row>
    <row r="789" customFormat="false" ht="15.75" hidden="false" customHeight="true" outlineLevel="0" collapsed="false">
      <c r="C789" s="24"/>
    </row>
    <row r="790" customFormat="false" ht="15.75" hidden="false" customHeight="true" outlineLevel="0" collapsed="false">
      <c r="C790" s="24"/>
    </row>
    <row r="791" customFormat="false" ht="15.75" hidden="false" customHeight="true" outlineLevel="0" collapsed="false">
      <c r="C791" s="24"/>
    </row>
    <row r="792" customFormat="false" ht="15.75" hidden="false" customHeight="true" outlineLevel="0" collapsed="false">
      <c r="C792" s="24"/>
    </row>
    <row r="793" customFormat="false" ht="15.75" hidden="false" customHeight="true" outlineLevel="0" collapsed="false">
      <c r="C793" s="24"/>
    </row>
    <row r="794" customFormat="false" ht="15.75" hidden="false" customHeight="true" outlineLevel="0" collapsed="false">
      <c r="C794" s="24"/>
    </row>
    <row r="795" customFormat="false" ht="15.75" hidden="false" customHeight="true" outlineLevel="0" collapsed="false">
      <c r="C795" s="24"/>
    </row>
    <row r="796" customFormat="false" ht="15.75" hidden="false" customHeight="true" outlineLevel="0" collapsed="false">
      <c r="C796" s="24"/>
    </row>
    <row r="797" customFormat="false" ht="15.75" hidden="false" customHeight="true" outlineLevel="0" collapsed="false">
      <c r="C797" s="24"/>
    </row>
    <row r="798" customFormat="false" ht="15.75" hidden="false" customHeight="true" outlineLevel="0" collapsed="false">
      <c r="C798" s="24"/>
    </row>
    <row r="799" customFormat="false" ht="15.75" hidden="false" customHeight="true" outlineLevel="0" collapsed="false">
      <c r="C799" s="24"/>
    </row>
    <row r="800" customFormat="false" ht="15.75" hidden="false" customHeight="true" outlineLevel="0" collapsed="false">
      <c r="C800" s="24"/>
    </row>
    <row r="801" customFormat="false" ht="15.75" hidden="false" customHeight="true" outlineLevel="0" collapsed="false">
      <c r="C801" s="24"/>
    </row>
    <row r="802" customFormat="false" ht="15.75" hidden="false" customHeight="true" outlineLevel="0" collapsed="false">
      <c r="C802" s="24"/>
    </row>
    <row r="803" customFormat="false" ht="15.75" hidden="false" customHeight="true" outlineLevel="0" collapsed="false">
      <c r="C803" s="24"/>
    </row>
    <row r="804" customFormat="false" ht="15.75" hidden="false" customHeight="true" outlineLevel="0" collapsed="false">
      <c r="C804" s="24"/>
    </row>
    <row r="805" customFormat="false" ht="15.75" hidden="false" customHeight="true" outlineLevel="0" collapsed="false">
      <c r="C805" s="24"/>
    </row>
    <row r="806" customFormat="false" ht="15.75" hidden="false" customHeight="true" outlineLevel="0" collapsed="false">
      <c r="C806" s="24"/>
    </row>
    <row r="807" customFormat="false" ht="15.75" hidden="false" customHeight="true" outlineLevel="0" collapsed="false">
      <c r="C807" s="24"/>
    </row>
    <row r="808" customFormat="false" ht="15.75" hidden="false" customHeight="true" outlineLevel="0" collapsed="false">
      <c r="C808" s="24"/>
    </row>
    <row r="809" customFormat="false" ht="15.75" hidden="false" customHeight="true" outlineLevel="0" collapsed="false">
      <c r="C809" s="24"/>
    </row>
    <row r="810" customFormat="false" ht="15.75" hidden="false" customHeight="true" outlineLevel="0" collapsed="false">
      <c r="C810" s="24"/>
    </row>
    <row r="811" customFormat="false" ht="15.75" hidden="false" customHeight="true" outlineLevel="0" collapsed="false">
      <c r="C811" s="24"/>
    </row>
    <row r="812" customFormat="false" ht="15.75" hidden="false" customHeight="true" outlineLevel="0" collapsed="false">
      <c r="C812" s="24"/>
    </row>
    <row r="813" customFormat="false" ht="15.75" hidden="false" customHeight="true" outlineLevel="0" collapsed="false">
      <c r="C813" s="24"/>
    </row>
    <row r="814" customFormat="false" ht="15.75" hidden="false" customHeight="true" outlineLevel="0" collapsed="false">
      <c r="C814" s="24"/>
    </row>
    <row r="815" customFormat="false" ht="15.75" hidden="false" customHeight="true" outlineLevel="0" collapsed="false">
      <c r="C815" s="24"/>
    </row>
    <row r="816" customFormat="false" ht="15.75" hidden="false" customHeight="true" outlineLevel="0" collapsed="false">
      <c r="C816" s="24"/>
    </row>
    <row r="817" customFormat="false" ht="15.75" hidden="false" customHeight="true" outlineLevel="0" collapsed="false">
      <c r="C817" s="24"/>
    </row>
    <row r="818" customFormat="false" ht="15.75" hidden="false" customHeight="true" outlineLevel="0" collapsed="false">
      <c r="C818" s="24"/>
    </row>
    <row r="819" customFormat="false" ht="15.75" hidden="false" customHeight="true" outlineLevel="0" collapsed="false">
      <c r="C819" s="24"/>
    </row>
    <row r="820" customFormat="false" ht="15.75" hidden="false" customHeight="true" outlineLevel="0" collapsed="false">
      <c r="C820" s="24"/>
    </row>
    <row r="821" customFormat="false" ht="15.75" hidden="false" customHeight="true" outlineLevel="0" collapsed="false">
      <c r="C821" s="24"/>
    </row>
    <row r="822" customFormat="false" ht="15.75" hidden="false" customHeight="true" outlineLevel="0" collapsed="false">
      <c r="C822" s="24"/>
    </row>
    <row r="823" customFormat="false" ht="15.75" hidden="false" customHeight="true" outlineLevel="0" collapsed="false">
      <c r="C823" s="24"/>
    </row>
    <row r="824" customFormat="false" ht="15.75" hidden="false" customHeight="true" outlineLevel="0" collapsed="false">
      <c r="C824" s="24"/>
    </row>
    <row r="825" customFormat="false" ht="15.75" hidden="false" customHeight="true" outlineLevel="0" collapsed="false">
      <c r="C825" s="24"/>
    </row>
    <row r="826" customFormat="false" ht="15.75" hidden="false" customHeight="true" outlineLevel="0" collapsed="false">
      <c r="C826" s="24"/>
    </row>
    <row r="827" customFormat="false" ht="15.75" hidden="false" customHeight="true" outlineLevel="0" collapsed="false">
      <c r="C827" s="24"/>
    </row>
    <row r="828" customFormat="false" ht="15.75" hidden="false" customHeight="true" outlineLevel="0" collapsed="false">
      <c r="C828" s="24"/>
    </row>
    <row r="829" customFormat="false" ht="15.75" hidden="false" customHeight="true" outlineLevel="0" collapsed="false">
      <c r="C829" s="24"/>
    </row>
    <row r="830" customFormat="false" ht="15.75" hidden="false" customHeight="true" outlineLevel="0" collapsed="false">
      <c r="C830" s="24"/>
    </row>
    <row r="831" customFormat="false" ht="15.75" hidden="false" customHeight="true" outlineLevel="0" collapsed="false">
      <c r="C831" s="24"/>
    </row>
    <row r="832" customFormat="false" ht="15.75" hidden="false" customHeight="true" outlineLevel="0" collapsed="false">
      <c r="C832" s="24"/>
    </row>
    <row r="833" customFormat="false" ht="15.75" hidden="false" customHeight="true" outlineLevel="0" collapsed="false">
      <c r="C833" s="24"/>
    </row>
    <row r="834" customFormat="false" ht="15.75" hidden="false" customHeight="true" outlineLevel="0" collapsed="false">
      <c r="C834" s="24"/>
    </row>
    <row r="835" customFormat="false" ht="15.75" hidden="false" customHeight="true" outlineLevel="0" collapsed="false">
      <c r="C835" s="24"/>
    </row>
    <row r="836" customFormat="false" ht="15.75" hidden="false" customHeight="true" outlineLevel="0" collapsed="false">
      <c r="C836" s="24"/>
    </row>
    <row r="837" customFormat="false" ht="15.75" hidden="false" customHeight="true" outlineLevel="0" collapsed="false">
      <c r="C837" s="24"/>
    </row>
    <row r="838" customFormat="false" ht="15.75" hidden="false" customHeight="true" outlineLevel="0" collapsed="false">
      <c r="C838" s="24"/>
    </row>
    <row r="839" customFormat="false" ht="15.75" hidden="false" customHeight="true" outlineLevel="0" collapsed="false">
      <c r="C839" s="24"/>
    </row>
    <row r="840" customFormat="false" ht="15.75" hidden="false" customHeight="true" outlineLevel="0" collapsed="false">
      <c r="C840" s="24"/>
    </row>
    <row r="841" customFormat="false" ht="15.75" hidden="false" customHeight="true" outlineLevel="0" collapsed="false">
      <c r="C841" s="24"/>
    </row>
    <row r="842" customFormat="false" ht="15.75" hidden="false" customHeight="true" outlineLevel="0" collapsed="false">
      <c r="C842" s="24"/>
    </row>
    <row r="843" customFormat="false" ht="15.75" hidden="false" customHeight="true" outlineLevel="0" collapsed="false">
      <c r="C843" s="24"/>
    </row>
    <row r="844" customFormat="false" ht="15.75" hidden="false" customHeight="true" outlineLevel="0" collapsed="false">
      <c r="C844" s="24"/>
    </row>
    <row r="845" customFormat="false" ht="15.75" hidden="false" customHeight="true" outlineLevel="0" collapsed="false">
      <c r="C845" s="24"/>
    </row>
    <row r="846" customFormat="false" ht="15.75" hidden="false" customHeight="true" outlineLevel="0" collapsed="false">
      <c r="C846" s="24"/>
    </row>
    <row r="847" customFormat="false" ht="15.75" hidden="false" customHeight="true" outlineLevel="0" collapsed="false">
      <c r="C847" s="24"/>
    </row>
    <row r="848" customFormat="false" ht="15.75" hidden="false" customHeight="true" outlineLevel="0" collapsed="false">
      <c r="C848" s="24"/>
    </row>
    <row r="849" customFormat="false" ht="15.75" hidden="false" customHeight="true" outlineLevel="0" collapsed="false">
      <c r="C849" s="24"/>
    </row>
    <row r="850" customFormat="false" ht="15.75" hidden="false" customHeight="true" outlineLevel="0" collapsed="false">
      <c r="C850" s="24"/>
    </row>
    <row r="851" customFormat="false" ht="15.75" hidden="false" customHeight="true" outlineLevel="0" collapsed="false">
      <c r="C851" s="24"/>
    </row>
    <row r="852" customFormat="false" ht="15.75" hidden="false" customHeight="true" outlineLevel="0" collapsed="false">
      <c r="C852" s="24"/>
    </row>
    <row r="853" customFormat="false" ht="15.75" hidden="false" customHeight="true" outlineLevel="0" collapsed="false">
      <c r="C853" s="24"/>
    </row>
    <row r="854" customFormat="false" ht="15.75" hidden="false" customHeight="true" outlineLevel="0" collapsed="false">
      <c r="C854" s="24"/>
    </row>
    <row r="855" customFormat="false" ht="15.75" hidden="false" customHeight="true" outlineLevel="0" collapsed="false">
      <c r="C855" s="24"/>
    </row>
    <row r="856" customFormat="false" ht="15.75" hidden="false" customHeight="true" outlineLevel="0" collapsed="false">
      <c r="C856" s="24"/>
    </row>
    <row r="857" customFormat="false" ht="15.75" hidden="false" customHeight="true" outlineLevel="0" collapsed="false">
      <c r="C857" s="24"/>
    </row>
    <row r="858" customFormat="false" ht="15.75" hidden="false" customHeight="true" outlineLevel="0" collapsed="false">
      <c r="C858" s="24"/>
    </row>
    <row r="859" customFormat="false" ht="15.75" hidden="false" customHeight="true" outlineLevel="0" collapsed="false">
      <c r="C859" s="24"/>
    </row>
    <row r="860" customFormat="false" ht="15.75" hidden="false" customHeight="true" outlineLevel="0" collapsed="false">
      <c r="C860" s="24"/>
    </row>
    <row r="861" customFormat="false" ht="15.75" hidden="false" customHeight="true" outlineLevel="0" collapsed="false">
      <c r="C861" s="24"/>
    </row>
    <row r="862" customFormat="false" ht="15.75" hidden="false" customHeight="true" outlineLevel="0" collapsed="false">
      <c r="C862" s="24"/>
    </row>
    <row r="863" customFormat="false" ht="15.75" hidden="false" customHeight="true" outlineLevel="0" collapsed="false">
      <c r="C863" s="24"/>
    </row>
    <row r="864" customFormat="false" ht="15.75" hidden="false" customHeight="true" outlineLevel="0" collapsed="false">
      <c r="C864" s="24"/>
    </row>
    <row r="865" customFormat="false" ht="15.75" hidden="false" customHeight="true" outlineLevel="0" collapsed="false">
      <c r="C865" s="24"/>
    </row>
    <row r="866" customFormat="false" ht="15.75" hidden="false" customHeight="true" outlineLevel="0" collapsed="false">
      <c r="C866" s="24"/>
    </row>
    <row r="867" customFormat="false" ht="15.75" hidden="false" customHeight="true" outlineLevel="0" collapsed="false">
      <c r="C867" s="24"/>
    </row>
    <row r="868" customFormat="false" ht="15.75" hidden="false" customHeight="true" outlineLevel="0" collapsed="false">
      <c r="C868" s="24"/>
    </row>
    <row r="869" customFormat="false" ht="15.75" hidden="false" customHeight="true" outlineLevel="0" collapsed="false">
      <c r="C869" s="24"/>
    </row>
    <row r="870" customFormat="false" ht="15.75" hidden="false" customHeight="true" outlineLevel="0" collapsed="false">
      <c r="C870" s="24"/>
    </row>
    <row r="871" customFormat="false" ht="15.75" hidden="false" customHeight="true" outlineLevel="0" collapsed="false">
      <c r="C871" s="24"/>
    </row>
    <row r="872" customFormat="false" ht="15.75" hidden="false" customHeight="true" outlineLevel="0" collapsed="false">
      <c r="C872" s="24"/>
    </row>
    <row r="873" customFormat="false" ht="15.75" hidden="false" customHeight="true" outlineLevel="0" collapsed="false">
      <c r="C873" s="24"/>
    </row>
    <row r="874" customFormat="false" ht="15.75" hidden="false" customHeight="true" outlineLevel="0" collapsed="false">
      <c r="C874" s="24"/>
    </row>
    <row r="875" customFormat="false" ht="15.75" hidden="false" customHeight="true" outlineLevel="0" collapsed="false">
      <c r="C875" s="24"/>
    </row>
    <row r="876" customFormat="false" ht="15.75" hidden="false" customHeight="true" outlineLevel="0" collapsed="false">
      <c r="C876" s="24"/>
    </row>
    <row r="877" customFormat="false" ht="15.75" hidden="false" customHeight="true" outlineLevel="0" collapsed="false">
      <c r="C877" s="24"/>
    </row>
    <row r="878" customFormat="false" ht="15.75" hidden="false" customHeight="true" outlineLevel="0" collapsed="false">
      <c r="C878" s="24"/>
    </row>
    <row r="879" customFormat="false" ht="15.75" hidden="false" customHeight="true" outlineLevel="0" collapsed="false">
      <c r="C879" s="24"/>
    </row>
    <row r="880" customFormat="false" ht="15.75" hidden="false" customHeight="true" outlineLevel="0" collapsed="false">
      <c r="C880" s="24"/>
    </row>
    <row r="881" customFormat="false" ht="15.75" hidden="false" customHeight="true" outlineLevel="0" collapsed="false">
      <c r="C881" s="24"/>
    </row>
    <row r="882" customFormat="false" ht="15.75" hidden="false" customHeight="true" outlineLevel="0" collapsed="false">
      <c r="C882" s="24"/>
    </row>
    <row r="883" customFormat="false" ht="15.75" hidden="false" customHeight="true" outlineLevel="0" collapsed="false">
      <c r="C883" s="24"/>
    </row>
    <row r="884" customFormat="false" ht="15.75" hidden="false" customHeight="true" outlineLevel="0" collapsed="false">
      <c r="C884" s="24"/>
    </row>
    <row r="885" customFormat="false" ht="15.75" hidden="false" customHeight="true" outlineLevel="0" collapsed="false">
      <c r="C885" s="24"/>
    </row>
    <row r="886" customFormat="false" ht="15.75" hidden="false" customHeight="true" outlineLevel="0" collapsed="false">
      <c r="C886" s="24"/>
    </row>
    <row r="887" customFormat="false" ht="15.75" hidden="false" customHeight="true" outlineLevel="0" collapsed="false">
      <c r="C887" s="24"/>
    </row>
    <row r="888" customFormat="false" ht="15.75" hidden="false" customHeight="true" outlineLevel="0" collapsed="false">
      <c r="C888" s="24"/>
    </row>
    <row r="889" customFormat="false" ht="15.75" hidden="false" customHeight="true" outlineLevel="0" collapsed="false">
      <c r="C889" s="24"/>
    </row>
    <row r="890" customFormat="false" ht="15.75" hidden="false" customHeight="true" outlineLevel="0" collapsed="false">
      <c r="C890" s="24"/>
    </row>
    <row r="891" customFormat="false" ht="15.75" hidden="false" customHeight="true" outlineLevel="0" collapsed="false">
      <c r="C891" s="24"/>
    </row>
    <row r="892" customFormat="false" ht="15.75" hidden="false" customHeight="true" outlineLevel="0" collapsed="false">
      <c r="C892" s="24"/>
    </row>
    <row r="893" customFormat="false" ht="15.75" hidden="false" customHeight="true" outlineLevel="0" collapsed="false">
      <c r="C893" s="24"/>
    </row>
    <row r="894" customFormat="false" ht="15.75" hidden="false" customHeight="true" outlineLevel="0" collapsed="false">
      <c r="C894" s="24"/>
    </row>
    <row r="895" customFormat="false" ht="15.75" hidden="false" customHeight="true" outlineLevel="0" collapsed="false">
      <c r="C895" s="24"/>
    </row>
    <row r="896" customFormat="false" ht="15.75" hidden="false" customHeight="true" outlineLevel="0" collapsed="false">
      <c r="C896" s="24"/>
    </row>
    <row r="897" customFormat="false" ht="15.75" hidden="false" customHeight="true" outlineLevel="0" collapsed="false">
      <c r="C897" s="24"/>
    </row>
    <row r="898" customFormat="false" ht="15.75" hidden="false" customHeight="true" outlineLevel="0" collapsed="false">
      <c r="C898" s="24"/>
    </row>
    <row r="899" customFormat="false" ht="15.75" hidden="false" customHeight="true" outlineLevel="0" collapsed="false">
      <c r="C899" s="24"/>
    </row>
    <row r="900" customFormat="false" ht="15.75" hidden="false" customHeight="true" outlineLevel="0" collapsed="false">
      <c r="C900" s="24"/>
    </row>
    <row r="901" customFormat="false" ht="15.75" hidden="false" customHeight="true" outlineLevel="0" collapsed="false">
      <c r="C901" s="24"/>
    </row>
    <row r="902" customFormat="false" ht="15.75" hidden="false" customHeight="true" outlineLevel="0" collapsed="false">
      <c r="C902" s="24"/>
    </row>
    <row r="903" customFormat="false" ht="15.75" hidden="false" customHeight="true" outlineLevel="0" collapsed="false">
      <c r="C903" s="24"/>
    </row>
    <row r="904" customFormat="false" ht="15.75" hidden="false" customHeight="true" outlineLevel="0" collapsed="false">
      <c r="C904" s="24"/>
    </row>
    <row r="905" customFormat="false" ht="15.75" hidden="false" customHeight="true" outlineLevel="0" collapsed="false">
      <c r="C905" s="24"/>
    </row>
    <row r="906" customFormat="false" ht="15.75" hidden="false" customHeight="true" outlineLevel="0" collapsed="false">
      <c r="C906" s="24"/>
    </row>
    <row r="907" customFormat="false" ht="15.75" hidden="false" customHeight="true" outlineLevel="0" collapsed="false">
      <c r="C907" s="24"/>
    </row>
    <row r="908" customFormat="false" ht="15.75" hidden="false" customHeight="true" outlineLevel="0" collapsed="false">
      <c r="C908" s="24"/>
    </row>
    <row r="909" customFormat="false" ht="15.75" hidden="false" customHeight="true" outlineLevel="0" collapsed="false">
      <c r="C909" s="24"/>
    </row>
    <row r="910" customFormat="false" ht="15.75" hidden="false" customHeight="true" outlineLevel="0" collapsed="false">
      <c r="C910" s="24"/>
    </row>
    <row r="911" customFormat="false" ht="15.75" hidden="false" customHeight="true" outlineLevel="0" collapsed="false">
      <c r="C911" s="24"/>
    </row>
    <row r="912" customFormat="false" ht="15.75" hidden="false" customHeight="true" outlineLevel="0" collapsed="false">
      <c r="C912" s="24"/>
    </row>
    <row r="913" customFormat="false" ht="15.75" hidden="false" customHeight="true" outlineLevel="0" collapsed="false">
      <c r="C913" s="24"/>
    </row>
    <row r="914" customFormat="false" ht="15.75" hidden="false" customHeight="true" outlineLevel="0" collapsed="false">
      <c r="C914" s="24"/>
    </row>
    <row r="915" customFormat="false" ht="15.75" hidden="false" customHeight="true" outlineLevel="0" collapsed="false">
      <c r="C915" s="24"/>
    </row>
    <row r="916" customFormat="false" ht="15.75" hidden="false" customHeight="true" outlineLevel="0" collapsed="false">
      <c r="C916" s="24"/>
    </row>
    <row r="917" customFormat="false" ht="15.75" hidden="false" customHeight="true" outlineLevel="0" collapsed="false">
      <c r="C917" s="24"/>
    </row>
    <row r="918" customFormat="false" ht="15.75" hidden="false" customHeight="true" outlineLevel="0" collapsed="false">
      <c r="C918" s="24"/>
    </row>
    <row r="919" customFormat="false" ht="15.75" hidden="false" customHeight="true" outlineLevel="0" collapsed="false">
      <c r="C919" s="24"/>
    </row>
    <row r="920" customFormat="false" ht="15.75" hidden="false" customHeight="true" outlineLevel="0" collapsed="false">
      <c r="C920" s="24"/>
    </row>
    <row r="921" customFormat="false" ht="15.75" hidden="false" customHeight="true" outlineLevel="0" collapsed="false">
      <c r="C921" s="24"/>
    </row>
    <row r="922" customFormat="false" ht="15.75" hidden="false" customHeight="true" outlineLevel="0" collapsed="false">
      <c r="C922" s="24"/>
    </row>
    <row r="923" customFormat="false" ht="15.75" hidden="false" customHeight="true" outlineLevel="0" collapsed="false">
      <c r="C923" s="24"/>
    </row>
    <row r="924" customFormat="false" ht="15.75" hidden="false" customHeight="true" outlineLevel="0" collapsed="false">
      <c r="C924" s="24"/>
    </row>
    <row r="925" customFormat="false" ht="15.75" hidden="false" customHeight="true" outlineLevel="0" collapsed="false">
      <c r="C925" s="24"/>
    </row>
    <row r="926" customFormat="false" ht="15.75" hidden="false" customHeight="true" outlineLevel="0" collapsed="false">
      <c r="C926" s="24"/>
    </row>
    <row r="927" customFormat="false" ht="15.75" hidden="false" customHeight="true" outlineLevel="0" collapsed="false">
      <c r="C927" s="24"/>
    </row>
    <row r="928" customFormat="false" ht="15.75" hidden="false" customHeight="true" outlineLevel="0" collapsed="false">
      <c r="C928" s="24"/>
    </row>
    <row r="929" customFormat="false" ht="15.75" hidden="false" customHeight="true" outlineLevel="0" collapsed="false">
      <c r="C929" s="24"/>
    </row>
    <row r="930" customFormat="false" ht="15.75" hidden="false" customHeight="true" outlineLevel="0" collapsed="false">
      <c r="C930" s="24"/>
    </row>
    <row r="931" customFormat="false" ht="15.75" hidden="false" customHeight="true" outlineLevel="0" collapsed="false">
      <c r="C931" s="24"/>
    </row>
    <row r="932" customFormat="false" ht="15.75" hidden="false" customHeight="true" outlineLevel="0" collapsed="false">
      <c r="C932" s="24"/>
    </row>
    <row r="933" customFormat="false" ht="15.75" hidden="false" customHeight="true" outlineLevel="0" collapsed="false">
      <c r="C933" s="24"/>
    </row>
    <row r="934" customFormat="false" ht="15.75" hidden="false" customHeight="true" outlineLevel="0" collapsed="false">
      <c r="C934" s="24"/>
    </row>
    <row r="935" customFormat="false" ht="15.75" hidden="false" customHeight="true" outlineLevel="0" collapsed="false">
      <c r="C935" s="24"/>
    </row>
    <row r="936" customFormat="false" ht="15.75" hidden="false" customHeight="true" outlineLevel="0" collapsed="false">
      <c r="C936" s="24"/>
    </row>
    <row r="937" customFormat="false" ht="15.75" hidden="false" customHeight="true" outlineLevel="0" collapsed="false">
      <c r="C937" s="24"/>
    </row>
    <row r="938" customFormat="false" ht="15.75" hidden="false" customHeight="true" outlineLevel="0" collapsed="false">
      <c r="C938" s="24"/>
    </row>
    <row r="939" customFormat="false" ht="15.75" hidden="false" customHeight="true" outlineLevel="0" collapsed="false">
      <c r="C939" s="24"/>
    </row>
    <row r="940" customFormat="false" ht="15.75" hidden="false" customHeight="true" outlineLevel="0" collapsed="false">
      <c r="C940" s="24"/>
    </row>
    <row r="941" customFormat="false" ht="15.75" hidden="false" customHeight="true" outlineLevel="0" collapsed="false">
      <c r="C941" s="24"/>
    </row>
    <row r="942" customFormat="false" ht="15.75" hidden="false" customHeight="true" outlineLevel="0" collapsed="false">
      <c r="C942" s="24"/>
    </row>
    <row r="943" customFormat="false" ht="15.75" hidden="false" customHeight="true" outlineLevel="0" collapsed="false">
      <c r="C943" s="24"/>
    </row>
    <row r="944" customFormat="false" ht="15.75" hidden="false" customHeight="true" outlineLevel="0" collapsed="false">
      <c r="C944" s="24"/>
    </row>
    <row r="945" customFormat="false" ht="15.75" hidden="false" customHeight="true" outlineLevel="0" collapsed="false">
      <c r="C945" s="24"/>
    </row>
    <row r="946" customFormat="false" ht="15.75" hidden="false" customHeight="true" outlineLevel="0" collapsed="false">
      <c r="C946" s="24"/>
    </row>
    <row r="947" customFormat="false" ht="15.75" hidden="false" customHeight="true" outlineLevel="0" collapsed="false">
      <c r="C947" s="24"/>
    </row>
    <row r="948" customFormat="false" ht="15.75" hidden="false" customHeight="true" outlineLevel="0" collapsed="false">
      <c r="C948" s="24"/>
    </row>
    <row r="949" customFormat="false" ht="15.75" hidden="false" customHeight="true" outlineLevel="0" collapsed="false">
      <c r="C949" s="24"/>
    </row>
    <row r="950" customFormat="false" ht="15.75" hidden="false" customHeight="true" outlineLevel="0" collapsed="false">
      <c r="C950" s="24"/>
    </row>
    <row r="951" customFormat="false" ht="15.75" hidden="false" customHeight="true" outlineLevel="0" collapsed="false">
      <c r="C951" s="24"/>
    </row>
    <row r="952" customFormat="false" ht="15.75" hidden="false" customHeight="true" outlineLevel="0" collapsed="false">
      <c r="C952" s="24"/>
    </row>
    <row r="953" customFormat="false" ht="15.75" hidden="false" customHeight="true" outlineLevel="0" collapsed="false">
      <c r="C953" s="24"/>
    </row>
    <row r="954" customFormat="false" ht="15.75" hidden="false" customHeight="true" outlineLevel="0" collapsed="false">
      <c r="C954" s="24"/>
    </row>
    <row r="955" customFormat="false" ht="15.75" hidden="false" customHeight="true" outlineLevel="0" collapsed="false">
      <c r="C955" s="24"/>
    </row>
    <row r="956" customFormat="false" ht="15.75" hidden="false" customHeight="true" outlineLevel="0" collapsed="false">
      <c r="C956" s="24"/>
    </row>
    <row r="957" customFormat="false" ht="15.75" hidden="false" customHeight="true" outlineLevel="0" collapsed="false">
      <c r="C957" s="24"/>
    </row>
    <row r="958" customFormat="false" ht="15.75" hidden="false" customHeight="true" outlineLevel="0" collapsed="false">
      <c r="C958" s="24"/>
    </row>
    <row r="959" customFormat="false" ht="15.75" hidden="false" customHeight="true" outlineLevel="0" collapsed="false">
      <c r="C959" s="24"/>
    </row>
    <row r="960" customFormat="false" ht="15.75" hidden="false" customHeight="true" outlineLevel="0" collapsed="false">
      <c r="C960" s="24"/>
    </row>
    <row r="961" customFormat="false" ht="15.75" hidden="false" customHeight="true" outlineLevel="0" collapsed="false">
      <c r="C961" s="24"/>
    </row>
    <row r="962" customFormat="false" ht="15.75" hidden="false" customHeight="true" outlineLevel="0" collapsed="false">
      <c r="C962" s="24"/>
    </row>
    <row r="963" customFormat="false" ht="15.75" hidden="false" customHeight="true" outlineLevel="0" collapsed="false">
      <c r="C963" s="24"/>
    </row>
    <row r="964" customFormat="false" ht="15.75" hidden="false" customHeight="true" outlineLevel="0" collapsed="false">
      <c r="C964" s="24"/>
    </row>
    <row r="965" customFormat="false" ht="15.75" hidden="false" customHeight="true" outlineLevel="0" collapsed="false">
      <c r="C965" s="24"/>
    </row>
    <row r="966" customFormat="false" ht="15.75" hidden="false" customHeight="true" outlineLevel="0" collapsed="false">
      <c r="C966" s="24"/>
    </row>
    <row r="967" customFormat="false" ht="15.75" hidden="false" customHeight="true" outlineLevel="0" collapsed="false">
      <c r="C967" s="24"/>
    </row>
    <row r="968" customFormat="false" ht="15.75" hidden="false" customHeight="true" outlineLevel="0" collapsed="false">
      <c r="C968" s="24"/>
    </row>
    <row r="969" customFormat="false" ht="15.75" hidden="false" customHeight="true" outlineLevel="0" collapsed="false">
      <c r="C969" s="24"/>
    </row>
    <row r="970" customFormat="false" ht="15.75" hidden="false" customHeight="true" outlineLevel="0" collapsed="false">
      <c r="C970" s="24"/>
    </row>
    <row r="971" customFormat="false" ht="15.75" hidden="false" customHeight="true" outlineLevel="0" collapsed="false">
      <c r="C971" s="24"/>
    </row>
    <row r="972" customFormat="false" ht="15.75" hidden="false" customHeight="true" outlineLevel="0" collapsed="false">
      <c r="C972" s="24"/>
    </row>
    <row r="973" customFormat="false" ht="15.75" hidden="false" customHeight="true" outlineLevel="0" collapsed="false">
      <c r="C973" s="24"/>
    </row>
    <row r="974" customFormat="false" ht="15.75" hidden="false" customHeight="true" outlineLevel="0" collapsed="false">
      <c r="C974" s="24"/>
    </row>
    <row r="975" customFormat="false" ht="15.75" hidden="false" customHeight="true" outlineLevel="0" collapsed="false">
      <c r="C975" s="24"/>
    </row>
    <row r="976" customFormat="false" ht="15.75" hidden="false" customHeight="true" outlineLevel="0" collapsed="false">
      <c r="C976" s="24"/>
    </row>
    <row r="977" customFormat="false" ht="15.75" hidden="false" customHeight="true" outlineLevel="0" collapsed="false">
      <c r="C977" s="24"/>
    </row>
    <row r="978" customFormat="false" ht="15.75" hidden="false" customHeight="true" outlineLevel="0" collapsed="false">
      <c r="C978" s="24"/>
    </row>
    <row r="979" customFormat="false" ht="15.75" hidden="false" customHeight="true" outlineLevel="0" collapsed="false">
      <c r="C979" s="24"/>
    </row>
    <row r="980" customFormat="false" ht="15.75" hidden="false" customHeight="true" outlineLevel="0" collapsed="false">
      <c r="C980" s="24"/>
    </row>
    <row r="981" customFormat="false" ht="15.75" hidden="false" customHeight="true" outlineLevel="0" collapsed="false">
      <c r="C981" s="24"/>
    </row>
    <row r="982" customFormat="false" ht="15.75" hidden="false" customHeight="true" outlineLevel="0" collapsed="false">
      <c r="C982" s="24"/>
    </row>
    <row r="983" customFormat="false" ht="15.75" hidden="false" customHeight="true" outlineLevel="0" collapsed="false">
      <c r="C983" s="24"/>
    </row>
    <row r="984" customFormat="false" ht="15.75" hidden="false" customHeight="true" outlineLevel="0" collapsed="false">
      <c r="C984" s="24"/>
    </row>
    <row r="985" customFormat="false" ht="15.75" hidden="false" customHeight="true" outlineLevel="0" collapsed="false">
      <c r="C985" s="24"/>
    </row>
    <row r="986" customFormat="false" ht="15.75" hidden="false" customHeight="true" outlineLevel="0" collapsed="false">
      <c r="C986" s="24"/>
    </row>
    <row r="987" customFormat="false" ht="15.75" hidden="false" customHeight="true" outlineLevel="0" collapsed="false">
      <c r="C987" s="24"/>
    </row>
    <row r="988" customFormat="false" ht="15.75" hidden="false" customHeight="true" outlineLevel="0" collapsed="false">
      <c r="C988" s="24"/>
    </row>
    <row r="989" customFormat="false" ht="15.75" hidden="false" customHeight="true" outlineLevel="0" collapsed="false">
      <c r="C989" s="24"/>
    </row>
    <row r="990" customFormat="false" ht="15.75" hidden="false" customHeight="true" outlineLevel="0" collapsed="false">
      <c r="C990" s="24"/>
    </row>
    <row r="991" customFormat="false" ht="15.75" hidden="false" customHeight="true" outlineLevel="0" collapsed="false">
      <c r="C991" s="24"/>
    </row>
    <row r="992" customFormat="false" ht="15.75" hidden="false" customHeight="true" outlineLevel="0" collapsed="false">
      <c r="C992" s="24"/>
    </row>
    <row r="993" customFormat="false" ht="15.75" hidden="false" customHeight="true" outlineLevel="0" collapsed="false">
      <c r="C993" s="24"/>
    </row>
    <row r="994" customFormat="false" ht="15.75" hidden="false" customHeight="true" outlineLevel="0" collapsed="false">
      <c r="C994" s="24"/>
    </row>
    <row r="995" customFormat="false" ht="15.75" hidden="false" customHeight="true" outlineLevel="0" collapsed="false">
      <c r="C995" s="24"/>
    </row>
    <row r="996" customFormat="false" ht="15.75" hidden="false" customHeight="true" outlineLevel="0" collapsed="false">
      <c r="C996" s="24"/>
    </row>
    <row r="997" customFormat="false" ht="15.75" hidden="false" customHeight="true" outlineLevel="0" collapsed="false">
      <c r="C997" s="24"/>
    </row>
    <row r="998" customFormat="false" ht="15.75" hidden="false" customHeight="true" outlineLevel="0" collapsed="false">
      <c r="C998" s="24"/>
    </row>
    <row r="999" customFormat="false" ht="15.75" hidden="false" customHeight="true" outlineLevel="0" collapsed="false">
      <c r="C999" s="24"/>
    </row>
    <row r="1000" customFormat="false" ht="15.75" hidden="false" customHeight="true" outlineLevel="0" collapsed="false">
      <c r="C1000" s="24"/>
    </row>
  </sheetData>
  <sheetProtection algorithmName="SHA-512" hashValue="RFpweXh0vE1bIv9CYz6fNixTOYXxj6O4Ntx2bFG0XziUJLBQXRFhUUuKg3zRf6Axsi8BaSFqB6i1gbb9qe+o2Q==" saltValue="2KgBDLnzePqjk4xEHjbgSQ==" spinCount="100000" sheet="true" objects="true" scenarios="true"/>
  <mergeCells count="1">
    <mergeCell ref="B3:E3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16" activeCellId="0" sqref="H16"/>
    </sheetView>
  </sheetViews>
  <sheetFormatPr defaultColWidth="14.50390625" defaultRowHeight="15" zeroHeight="false" outlineLevelRow="0" outlineLevelCol="0"/>
  <cols>
    <col collapsed="false" customWidth="true" hidden="false" outlineLevel="0" max="4" min="1" style="4" width="10.67"/>
    <col collapsed="false" customWidth="true" hidden="false" outlineLevel="0" max="5" min="5" style="4" width="12.5"/>
    <col collapsed="false" customWidth="true" hidden="false" outlineLevel="0" max="6" min="6" style="4" width="21.17"/>
    <col collapsed="false" customWidth="true" hidden="false" outlineLevel="0" max="7" min="7" style="4" width="10.67"/>
    <col collapsed="false" customWidth="true" hidden="false" outlineLevel="0" max="8" min="8" style="4" width="28.17"/>
    <col collapsed="false" customWidth="true" hidden="false" outlineLevel="0" max="9" min="9" style="4" width="37.17"/>
    <col collapsed="false" customWidth="true" hidden="false" outlineLevel="0" max="10" min="10" style="4" width="11.83"/>
    <col collapsed="false" customWidth="true" hidden="false" outlineLevel="0" max="26" min="11" style="4" width="10.67"/>
    <col collapsed="false" customWidth="false" hidden="false" outlineLevel="0" max="16384" min="27" style="4" width="14.5"/>
  </cols>
  <sheetData>
    <row r="1" customFormat="false" ht="30" hidden="false" customHeight="true" outlineLevel="0" collapsed="false">
      <c r="A1" s="41" t="s">
        <v>67</v>
      </c>
      <c r="B1" s="41"/>
      <c r="C1" s="41"/>
      <c r="D1" s="41"/>
      <c r="E1" s="41"/>
      <c r="F1" s="41"/>
      <c r="G1" s="41"/>
      <c r="H1" s="41"/>
      <c r="I1" s="41"/>
      <c r="J1" s="41"/>
    </row>
    <row r="2" customFormat="false" ht="27.75" hidden="false" customHeight="true" outlineLevel="0" collapsed="false">
      <c r="A2" s="42" t="s">
        <v>68</v>
      </c>
      <c r="B2" s="42"/>
      <c r="C2" s="42"/>
      <c r="D2" s="42"/>
      <c r="E2" s="42"/>
      <c r="F2" s="42"/>
      <c r="G2" s="42"/>
      <c r="H2" s="42"/>
      <c r="I2" s="42"/>
      <c r="J2" s="42"/>
    </row>
    <row r="3" customFormat="false" ht="49.5" hidden="false" customHeight="true" outlineLevel="0" collapsed="false">
      <c r="B3" s="25" t="s">
        <v>69</v>
      </c>
      <c r="C3" s="25"/>
      <c r="D3" s="25"/>
      <c r="E3" s="25"/>
      <c r="F3" s="25"/>
    </row>
    <row r="4" customFormat="false" ht="15" hidden="false" customHeight="true" outlineLevel="0" collapsed="false"/>
    <row r="5" customFormat="false" ht="15" hidden="false" customHeight="true" outlineLevel="0" collapsed="false"/>
    <row r="6" customFormat="false" ht="19.5" hidden="false" customHeight="true" outlineLevel="0" collapsed="false">
      <c r="B6" s="28" t="s">
        <v>70</v>
      </c>
      <c r="C6" s="28"/>
    </row>
    <row r="7" customFormat="false" ht="15" hidden="false" customHeight="true" outlineLevel="0" collapsed="false">
      <c r="I7" s="43" t="s">
        <v>9</v>
      </c>
      <c r="J7" s="44" t="s">
        <v>10</v>
      </c>
    </row>
    <row r="8" customFormat="false" ht="15" hidden="false" customHeight="true" outlineLevel="0" collapsed="false">
      <c r="B8" s="45" t="s">
        <v>3</v>
      </c>
      <c r="C8" s="45"/>
      <c r="D8" s="45"/>
      <c r="E8" s="45"/>
      <c r="F8" s="46" t="s">
        <v>71</v>
      </c>
      <c r="I8" s="47" t="s">
        <v>72</v>
      </c>
      <c r="J8" s="15" t="n">
        <f aca="false">'Inversión Inicial'!H6+'Inversión Inicial'!H7+'Inversión Inicial'!H8+'Inversión Inicial'!H9+'Inversión Inicial'!H10+'Inversión Inicial'!H11+'Inversión Inicial'!H12+'Inversión Inicial'!H13+'Inversión Inicial'!H14+'Inversión Inicial'!H15+'Inversión Inicial'!H16+'Inversión Inicial'!H19+'Inversión Inicial'!H20+'Inversión Inicial'!H21+'Inversión Inicial'!H22+'Inversión Inicial'!H23+'Inversión Inicial'!H24+'Inversión Inicial'!H25+'Inversión Inicial'!H28</f>
        <v>0</v>
      </c>
    </row>
    <row r="9" customFormat="false" ht="15" hidden="false" customHeight="true" outlineLevel="0" collapsed="false">
      <c r="B9" s="48" t="s">
        <v>73</v>
      </c>
      <c r="C9" s="48"/>
      <c r="D9" s="48"/>
      <c r="E9" s="48"/>
      <c r="F9" s="11" t="n">
        <v>0</v>
      </c>
      <c r="I9" s="47" t="s">
        <v>74</v>
      </c>
      <c r="J9" s="15" t="n">
        <f aca="false">F9+J8</f>
        <v>0</v>
      </c>
    </row>
    <row r="10" customFormat="false" ht="15" hidden="false" customHeight="true" outlineLevel="0" collapsed="false">
      <c r="B10" s="48" t="s">
        <v>75</v>
      </c>
      <c r="C10" s="48"/>
      <c r="D10" s="48"/>
      <c r="E10" s="48"/>
      <c r="F10" s="11" t="n">
        <v>0</v>
      </c>
      <c r="I10" s="47" t="s">
        <v>76</v>
      </c>
      <c r="J10" s="15" t="n">
        <f aca="false">F9+F10+J8</f>
        <v>0</v>
      </c>
    </row>
    <row r="11" customFormat="false" ht="15" hidden="false" customHeight="true" outlineLevel="0" collapsed="false">
      <c r="B11" s="49"/>
      <c r="C11" s="49"/>
      <c r="D11" s="49"/>
      <c r="E11" s="49"/>
      <c r="I11" s="50"/>
      <c r="J11" s="51"/>
    </row>
    <row r="12" customFormat="false" ht="15" hidden="false" customHeight="true" outlineLevel="0" collapsed="false">
      <c r="B12" s="49"/>
      <c r="C12" s="49"/>
      <c r="D12" s="49"/>
      <c r="E12" s="49"/>
      <c r="I12" s="47" t="s">
        <v>77</v>
      </c>
      <c r="J12" s="15" t="n">
        <f aca="false">F17+F18</f>
        <v>180000</v>
      </c>
    </row>
    <row r="13" customFormat="false" ht="18.75" hidden="false" customHeight="true" outlineLevel="0" collapsed="false">
      <c r="B13" s="28" t="s">
        <v>78</v>
      </c>
      <c r="C13" s="28"/>
      <c r="D13" s="28"/>
      <c r="E13" s="49"/>
      <c r="I13" s="47" t="s">
        <v>79</v>
      </c>
      <c r="J13" s="15" t="n">
        <f aca="false">F16+J12</f>
        <v>180000</v>
      </c>
    </row>
    <row r="14" customFormat="false" ht="15" hidden="false" customHeight="true" outlineLevel="0" collapsed="false">
      <c r="B14" s="49"/>
      <c r="C14" s="49"/>
      <c r="D14" s="49"/>
      <c r="E14" s="49"/>
      <c r="I14" s="50"/>
      <c r="J14" s="51"/>
    </row>
    <row r="15" customFormat="false" ht="15" hidden="false" customHeight="true" outlineLevel="0" collapsed="false">
      <c r="B15" s="45" t="s">
        <v>3</v>
      </c>
      <c r="C15" s="45"/>
      <c r="D15" s="45"/>
      <c r="E15" s="45"/>
      <c r="F15" s="46" t="s">
        <v>71</v>
      </c>
      <c r="G15" s="46" t="s">
        <v>80</v>
      </c>
      <c r="H15" s="52" t="s">
        <v>81</v>
      </c>
      <c r="I15" s="47" t="s">
        <v>82</v>
      </c>
      <c r="J15" s="15" t="n">
        <f aca="false">'Pago de Inversiones'!G25+'Pago de Inversiones'!I25+'Pago de Inversiones'!K25+'Pago de Inversiones'!M25+'Pago de Inversiones'!O25+'Pago de Inversiones'!Q25+'Pago de Inversiones'!S25+'Pago de Inversiones'!U25+'Pago de Inversiones'!W25+'Pago de Inversiones'!Y25+'Pago de Inversiones'!AA25+'Pago de Inversiones'!AC25+F24</f>
        <v>0</v>
      </c>
    </row>
    <row r="16" customFormat="false" ht="15" hidden="false" customHeight="true" outlineLevel="0" collapsed="false">
      <c r="B16" s="48" t="s">
        <v>83</v>
      </c>
      <c r="C16" s="48"/>
      <c r="D16" s="48"/>
      <c r="E16" s="48"/>
      <c r="F16" s="11" t="n">
        <v>0</v>
      </c>
      <c r="G16" s="18"/>
      <c r="H16" s="53"/>
      <c r="I16" s="50"/>
      <c r="J16" s="51"/>
    </row>
    <row r="17" customFormat="false" ht="15" hidden="false" customHeight="true" outlineLevel="0" collapsed="false">
      <c r="B17" s="48" t="s">
        <v>84</v>
      </c>
      <c r="C17" s="48"/>
      <c r="D17" s="48"/>
      <c r="E17" s="48"/>
      <c r="F17" s="11" t="n">
        <v>180000</v>
      </c>
      <c r="G17" s="54" t="n">
        <v>7</v>
      </c>
      <c r="H17" s="55" t="n">
        <v>0.07</v>
      </c>
      <c r="I17" s="47" t="s">
        <v>85</v>
      </c>
      <c r="J17" s="15" t="n">
        <f aca="false">J10+J15+J13</f>
        <v>180000</v>
      </c>
    </row>
    <row r="18" customFormat="false" ht="15" hidden="false" customHeight="true" outlineLevel="0" collapsed="false">
      <c r="B18" s="48" t="s">
        <v>86</v>
      </c>
      <c r="C18" s="48"/>
      <c r="D18" s="48"/>
      <c r="E18" s="48"/>
      <c r="F18" s="11" t="n">
        <v>0</v>
      </c>
      <c r="G18" s="54" t="n">
        <v>0</v>
      </c>
      <c r="H18" s="55" t="n">
        <v>0</v>
      </c>
      <c r="I18" s="50"/>
      <c r="J18" s="51"/>
    </row>
    <row r="19" customFormat="false" ht="15.75" hidden="false" customHeight="true" outlineLevel="0" collapsed="false">
      <c r="B19" s="49"/>
      <c r="C19" s="49"/>
      <c r="D19" s="49"/>
      <c r="E19" s="49"/>
      <c r="I19" s="56" t="str">
        <f aca="false">'Inversión Inicial'!J16</f>
        <v>Necesidades Totales de Aportación en Especie</v>
      </c>
      <c r="J19" s="21" t="n">
        <f aca="false">('Inversión Inicial'!K8+'Inversión Inicial'!K10+'Inversión Inicial'!K12+'Inversión Inicial'!K13)-J17</f>
        <v>-68166.78</v>
      </c>
    </row>
    <row r="20" customFormat="false" ht="15" hidden="false" customHeight="true" outlineLevel="0" collapsed="false">
      <c r="B20" s="49"/>
      <c r="C20" s="49"/>
      <c r="D20" s="49"/>
      <c r="E20" s="49"/>
      <c r="J20" s="36"/>
    </row>
    <row r="21" customFormat="false" ht="15.75" hidden="false" customHeight="true" outlineLevel="0" collapsed="false">
      <c r="B21" s="28" t="s">
        <v>87</v>
      </c>
      <c r="C21" s="28"/>
      <c r="D21" s="28"/>
      <c r="E21" s="49"/>
    </row>
    <row r="22" customFormat="false" ht="15.75" hidden="false" customHeight="true" outlineLevel="0" collapsed="false">
      <c r="B22" s="49"/>
      <c r="C22" s="49"/>
      <c r="D22" s="49"/>
      <c r="E22" s="49"/>
    </row>
    <row r="23" customFormat="false" ht="15.75" hidden="false" customHeight="true" outlineLevel="0" collapsed="false">
      <c r="B23" s="57" t="s">
        <v>3</v>
      </c>
      <c r="C23" s="57"/>
      <c r="D23" s="57"/>
      <c r="E23" s="57"/>
      <c r="F23" s="58" t="s">
        <v>71</v>
      </c>
      <c r="H23" s="59" t="s">
        <v>81</v>
      </c>
    </row>
    <row r="24" customFormat="false" ht="15.75" hidden="false" customHeight="true" outlineLevel="0" collapsed="false">
      <c r="B24" s="60" t="s">
        <v>88</v>
      </c>
      <c r="C24" s="60"/>
      <c r="D24" s="60"/>
      <c r="E24" s="60"/>
      <c r="F24" s="11" t="n">
        <v>0</v>
      </c>
      <c r="H24" s="55" t="n">
        <v>0</v>
      </c>
    </row>
    <row r="25" customFormat="false" ht="15.75" hidden="false" customHeight="true" outlineLevel="0" collapsed="false">
      <c r="A25" s="61" t="s">
        <v>89</v>
      </c>
      <c r="B25" s="61"/>
      <c r="C25" s="61"/>
      <c r="D25" s="61"/>
      <c r="E25" s="61"/>
      <c r="F25" s="61"/>
      <c r="G25" s="61"/>
      <c r="H25" s="61"/>
      <c r="I25" s="61"/>
      <c r="J25" s="61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sheetProtection algorithmName="SHA-512" hashValue="0T42fk+tEG7nr625Mu3ExTu0INrvReKqhLBqw8P+g2xz7fYMD9teylPpwVGaPIhF59/ENuemVKAdcvj1d67IOg==" saltValue="cQxfzgYPLUpkdTgzqVboUA==" spinCount="100000" sheet="true" objects="true" scenarios="true"/>
  <mergeCells count="16">
    <mergeCell ref="A1:J1"/>
    <mergeCell ref="A2:J2"/>
    <mergeCell ref="B3:F3"/>
    <mergeCell ref="B6:C6"/>
    <mergeCell ref="B8:E8"/>
    <mergeCell ref="B9:E9"/>
    <mergeCell ref="B10:E10"/>
    <mergeCell ref="B13:D13"/>
    <mergeCell ref="B15:E15"/>
    <mergeCell ref="B16:E16"/>
    <mergeCell ref="B17:E17"/>
    <mergeCell ref="B18:E18"/>
    <mergeCell ref="B21:D21"/>
    <mergeCell ref="B23:E23"/>
    <mergeCell ref="B24:E24"/>
    <mergeCell ref="A25:J25"/>
  </mergeCells>
  <hyperlinks>
    <hyperlink ref="A25" r:id="rId2" display="Liquidez: caja propia inicial 0 €. La financiación externa central de 180.000 € requiere póliza/préstamo de emprendimiento o desembolso documentado. El flujo oficial solo la simula en escenario proforma condicionado."/>
  </hyperlink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Z10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7" activeCellId="0" sqref="H57"/>
    </sheetView>
  </sheetViews>
  <sheetFormatPr defaultColWidth="14.50390625" defaultRowHeight="15" zeroHeight="false" outlineLevelRow="0" outlineLevelCol="0"/>
  <cols>
    <col collapsed="false" customWidth="true" hidden="false" outlineLevel="0" max="1" min="1" style="1" width="10.67"/>
    <col collapsed="false" customWidth="true" hidden="false" outlineLevel="0" max="19" min="2" style="1" width="11.83"/>
    <col collapsed="false" customWidth="true" hidden="false" outlineLevel="0" max="26" min="20" style="1" width="10.67"/>
    <col collapsed="false" customWidth="false" hidden="false" outlineLevel="0" max="16384" min="27" style="1" width="14.5"/>
  </cols>
  <sheetData>
    <row r="2" customFormat="false" ht="34.5" hidden="false" customHeight="true" outlineLevel="0" collapsed="false">
      <c r="B2" s="62" t="s">
        <v>90</v>
      </c>
      <c r="C2" s="62"/>
      <c r="D2" s="62"/>
      <c r="E2" s="62"/>
      <c r="F2" s="62"/>
      <c r="G2" s="62"/>
    </row>
    <row r="3" customFormat="false" ht="31.5" hidden="false" customHeight="true" outlineLevel="0" collapsed="false">
      <c r="A3" s="63"/>
      <c r="B3" s="25" t="s">
        <v>91</v>
      </c>
      <c r="C3" s="25" t="s">
        <v>92</v>
      </c>
      <c r="D3" s="25" t="s">
        <v>93</v>
      </c>
      <c r="E3" s="25" t="s">
        <v>94</v>
      </c>
      <c r="F3" s="25" t="s">
        <v>95</v>
      </c>
      <c r="G3" s="25" t="s">
        <v>96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customFormat="false" ht="15" hidden="false" customHeight="true" outlineLevel="0" collapsed="false">
      <c r="A4" s="2" t="s">
        <v>97</v>
      </c>
      <c r="B4" s="2" t="s">
        <v>98</v>
      </c>
      <c r="C4" s="64" t="n">
        <v>65</v>
      </c>
      <c r="D4" s="65" t="n">
        <v>0.21</v>
      </c>
      <c r="E4" s="66" t="n">
        <f aca="false">C4*D4+C4</f>
        <v>78.65</v>
      </c>
      <c r="F4" s="2" t="n">
        <v>72</v>
      </c>
      <c r="G4" s="66" t="n">
        <f aca="false">E4*F4</f>
        <v>5662.8</v>
      </c>
      <c r="H4" s="67"/>
    </row>
    <row r="5" customFormat="false" ht="15" hidden="false" customHeight="true" outlineLevel="0" collapsed="false">
      <c r="B5" s="2" t="s">
        <v>99</v>
      </c>
      <c r="C5" s="64" t="n">
        <v>300</v>
      </c>
      <c r="D5" s="65" t="n">
        <v>0.21</v>
      </c>
      <c r="E5" s="66" t="n">
        <f aca="false">C5*D5+C5</f>
        <v>363</v>
      </c>
      <c r="F5" s="2" t="n">
        <v>5</v>
      </c>
      <c r="G5" s="66" t="n">
        <f aca="false">E5*F5</f>
        <v>1815</v>
      </c>
      <c r="H5" s="67"/>
    </row>
    <row r="6" customFormat="false" ht="15" hidden="false" customHeight="true" outlineLevel="0" collapsed="false">
      <c r="B6" s="68" t="s">
        <v>100</v>
      </c>
      <c r="C6" s="11" t="n">
        <v>150</v>
      </c>
      <c r="D6" s="55" t="n">
        <v>0.21</v>
      </c>
      <c r="E6" s="12" t="n">
        <f aca="false">C6*D6+C6</f>
        <v>181.5</v>
      </c>
      <c r="F6" s="54" t="n">
        <v>9</v>
      </c>
      <c r="G6" s="12" t="n">
        <f aca="false">E6*F6</f>
        <v>1633.5</v>
      </c>
      <c r="H6" s="67"/>
    </row>
    <row r="7" customFormat="false" ht="15" hidden="false" customHeight="true" outlineLevel="0" collapsed="false">
      <c r="B7" s="69" t="s">
        <v>101</v>
      </c>
      <c r="C7" s="11" t="n">
        <v>400</v>
      </c>
      <c r="D7" s="55" t="n">
        <v>0.21</v>
      </c>
      <c r="E7" s="70" t="n">
        <f aca="false">C7*D7+C7</f>
        <v>484</v>
      </c>
      <c r="F7" s="54" t="n">
        <v>5</v>
      </c>
      <c r="G7" s="12" t="n">
        <f aca="false">E7*F7</f>
        <v>2420</v>
      </c>
      <c r="H7" s="67"/>
    </row>
    <row r="8" customFormat="false" ht="15" hidden="false" customHeight="true" outlineLevel="0" collapsed="false">
      <c r="B8" s="71" t="s">
        <v>102</v>
      </c>
      <c r="C8" s="11" t="n">
        <v>391.5</v>
      </c>
      <c r="D8" s="55" t="n">
        <v>0.21</v>
      </c>
      <c r="E8" s="12" t="n">
        <f aca="false">C8*D8+C8</f>
        <v>473.715</v>
      </c>
      <c r="F8" s="54" t="n">
        <v>3</v>
      </c>
      <c r="G8" s="12" t="n">
        <f aca="false">E8*F8</f>
        <v>1421.145</v>
      </c>
      <c r="H8" s="67"/>
      <c r="I8" s="72"/>
    </row>
    <row r="11" customFormat="false" ht="26.25" hidden="false" customHeight="true" outlineLevel="0" collapsed="false">
      <c r="B11" s="73" t="s">
        <v>103</v>
      </c>
      <c r="C11" s="73"/>
      <c r="D11" s="73"/>
      <c r="E11" s="73"/>
      <c r="F11" s="73"/>
      <c r="G11" s="73"/>
    </row>
    <row r="12" customFormat="false" ht="31.5" hidden="false" customHeight="true" outlineLevel="0" collapsed="false">
      <c r="A12" s="63"/>
      <c r="B12" s="74" t="s">
        <v>91</v>
      </c>
      <c r="C12" s="74" t="s">
        <v>92</v>
      </c>
      <c r="D12" s="74" t="s">
        <v>93</v>
      </c>
      <c r="E12" s="74" t="s">
        <v>94</v>
      </c>
      <c r="F12" s="74" t="s">
        <v>95</v>
      </c>
      <c r="G12" s="74" t="s">
        <v>96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customFormat="false" ht="15" hidden="false" customHeight="true" outlineLevel="0" collapsed="false">
      <c r="A13" s="75" t="s">
        <v>104</v>
      </c>
      <c r="B13" s="76" t="str">
        <f aca="false">B4</f>
        <v>SaaS agro-energético y cuaderno digital</v>
      </c>
      <c r="C13" s="11" t="n">
        <v>250</v>
      </c>
      <c r="D13" s="55" t="n">
        <v>0.21</v>
      </c>
      <c r="E13" s="70" t="n">
        <f aca="false">C13*D13+C13</f>
        <v>302.5</v>
      </c>
      <c r="F13" s="77" t="n">
        <f aca="false">F4</f>
        <v>72</v>
      </c>
      <c r="G13" s="12" t="n">
        <f aca="false">E13*F13</f>
        <v>21780</v>
      </c>
      <c r="H13" s="67"/>
      <c r="K13" s="67"/>
    </row>
    <row r="14" customFormat="false" ht="15" hidden="false" customHeight="true" outlineLevel="0" collapsed="false">
      <c r="B14" s="78" t="str">
        <f aca="false">B5</f>
        <v>Implantación y parametrización</v>
      </c>
      <c r="C14" s="11" t="n">
        <v>1500</v>
      </c>
      <c r="D14" s="55" t="n">
        <v>0.21</v>
      </c>
      <c r="E14" s="12" t="n">
        <f aca="false">C14*D14+C14</f>
        <v>1815</v>
      </c>
      <c r="F14" s="77" t="n">
        <f aca="false">F5</f>
        <v>5</v>
      </c>
      <c r="G14" s="12" t="n">
        <f aca="false">E14*F14</f>
        <v>9075</v>
      </c>
      <c r="H14" s="67"/>
      <c r="I14" s="67"/>
      <c r="K14" s="67"/>
    </row>
    <row r="15" customFormat="false" ht="15" hidden="false" customHeight="true" outlineLevel="0" collapsed="false">
      <c r="B15" s="79" t="str">
        <f aca="false">B6</f>
        <v>Formación y acompañamiento</v>
      </c>
      <c r="C15" s="11" t="n">
        <v>500</v>
      </c>
      <c r="D15" s="55" t="n">
        <v>0.21</v>
      </c>
      <c r="E15" s="12" t="n">
        <f aca="false">C15*D15+C15</f>
        <v>605</v>
      </c>
      <c r="F15" s="77" t="n">
        <f aca="false">F6</f>
        <v>9</v>
      </c>
      <c r="G15" s="12" t="n">
        <f aca="false">E15*F15</f>
        <v>5445</v>
      </c>
      <c r="H15" s="67"/>
      <c r="K15" s="67"/>
    </row>
    <row r="16" customFormat="false" ht="15" hidden="false" customHeight="true" outlineLevel="0" collapsed="false">
      <c r="B16" s="80" t="str">
        <f aca="false">B7</f>
        <v>Kit sensórico e integración de campo</v>
      </c>
      <c r="C16" s="11" t="n">
        <v>1200</v>
      </c>
      <c r="D16" s="55" t="n">
        <v>0.21</v>
      </c>
      <c r="E16" s="12" t="n">
        <f aca="false">C16*D16+C16</f>
        <v>1452</v>
      </c>
      <c r="F16" s="77" t="n">
        <f aca="false">F7</f>
        <v>5</v>
      </c>
      <c r="G16" s="12" t="n">
        <f aca="false">E16*F16</f>
        <v>7260</v>
      </c>
      <c r="H16" s="67"/>
      <c r="K16" s="67"/>
    </row>
    <row r="17" customFormat="false" ht="15" hidden="false" customHeight="true" outlineLevel="0" collapsed="false">
      <c r="B17" s="81" t="str">
        <f aca="false">B8</f>
        <v>Consultoría y evidencias</v>
      </c>
      <c r="C17" s="11" t="n">
        <v>1166.66666666667</v>
      </c>
      <c r="D17" s="55" t="n">
        <v>0.21</v>
      </c>
      <c r="E17" s="12" t="n">
        <f aca="false">C17*D17+C17</f>
        <v>1411.66666666667</v>
      </c>
      <c r="F17" s="77" t="n">
        <f aca="false">F8</f>
        <v>3</v>
      </c>
      <c r="G17" s="12" t="n">
        <f aca="false">E17*F17</f>
        <v>4235.00000000001</v>
      </c>
      <c r="H17" s="67"/>
      <c r="K17" s="67"/>
    </row>
    <row r="19" customFormat="false" ht="15.75" hidden="false" customHeight="true" outlineLevel="0" collapsed="false">
      <c r="G19" s="82" t="s">
        <v>105</v>
      </c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</row>
    <row r="20" customFormat="false" ht="15" hidden="false" customHeight="true" outlineLevel="0" collapsed="false">
      <c r="A20" s="83"/>
      <c r="D20" s="84" t="str">
        <f aca="false">B4</f>
        <v>SaaS agro-energético y cuaderno digital</v>
      </c>
      <c r="E20" s="84"/>
      <c r="F20" s="84"/>
      <c r="G20" s="85" t="s">
        <v>106</v>
      </c>
      <c r="H20" s="85" t="s">
        <v>48</v>
      </c>
      <c r="I20" s="85" t="s">
        <v>49</v>
      </c>
      <c r="J20" s="85" t="s">
        <v>50</v>
      </c>
      <c r="K20" s="85" t="s">
        <v>51</v>
      </c>
      <c r="L20" s="85" t="s">
        <v>52</v>
      </c>
      <c r="M20" s="85" t="s">
        <v>53</v>
      </c>
      <c r="N20" s="85" t="s">
        <v>54</v>
      </c>
      <c r="O20" s="85" t="s">
        <v>55</v>
      </c>
      <c r="P20" s="85" t="s">
        <v>56</v>
      </c>
      <c r="Q20" s="85" t="s">
        <v>57</v>
      </c>
      <c r="R20" s="85" t="s">
        <v>58</v>
      </c>
      <c r="S20" s="85" t="s">
        <v>59</v>
      </c>
      <c r="T20" s="30" t="s">
        <v>107</v>
      </c>
      <c r="U20" s="83"/>
      <c r="V20" s="83"/>
      <c r="W20" s="83"/>
      <c r="X20" s="83"/>
      <c r="Y20" s="83"/>
      <c r="Z20" s="83"/>
    </row>
    <row r="21" customFormat="false" ht="15" hidden="false" customHeight="true" outlineLevel="0" collapsed="false">
      <c r="A21" s="63"/>
      <c r="D21" s="86" t="s">
        <v>108</v>
      </c>
      <c r="E21" s="86"/>
      <c r="F21" s="86"/>
      <c r="G21" s="10" t="n">
        <f aca="false">F4</f>
        <v>72</v>
      </c>
      <c r="H21" s="87" t="n">
        <v>0</v>
      </c>
      <c r="I21" s="87" t="n">
        <v>0</v>
      </c>
      <c r="J21" s="87" t="n">
        <v>2</v>
      </c>
      <c r="K21" s="87" t="n">
        <v>3</v>
      </c>
      <c r="L21" s="87" t="n">
        <v>4</v>
      </c>
      <c r="M21" s="87" t="n">
        <v>5</v>
      </c>
      <c r="N21" s="87" t="n">
        <v>6</v>
      </c>
      <c r="O21" s="87" t="n">
        <v>7</v>
      </c>
      <c r="P21" s="87" t="n">
        <v>8</v>
      </c>
      <c r="Q21" s="87" t="n">
        <v>9</v>
      </c>
      <c r="R21" s="87" t="n">
        <v>13</v>
      </c>
      <c r="S21" s="87" t="n">
        <v>15</v>
      </c>
      <c r="T21" s="88" t="n">
        <f aca="false">G21-H21-I21-J21-K21-L21-M21-N21-O21-P21-Q21-R21-S21</f>
        <v>0</v>
      </c>
      <c r="U21" s="63"/>
      <c r="V21" s="63"/>
      <c r="W21" s="63"/>
      <c r="X21" s="63"/>
      <c r="Y21" s="63"/>
      <c r="Z21" s="63"/>
    </row>
    <row r="22" customFormat="false" ht="15" hidden="false" customHeight="true" outlineLevel="0" collapsed="false">
      <c r="D22" s="86" t="s">
        <v>109</v>
      </c>
      <c r="E22" s="86"/>
      <c r="F22" s="86"/>
      <c r="G22" s="12" t="n">
        <f aca="false">C13</f>
        <v>250</v>
      </c>
      <c r="H22" s="12" t="n">
        <f aca="false">G22</f>
        <v>250</v>
      </c>
      <c r="I22" s="12" t="n">
        <f aca="false">G22</f>
        <v>250</v>
      </c>
      <c r="J22" s="12" t="n">
        <f aca="false">G22</f>
        <v>250</v>
      </c>
      <c r="K22" s="12" t="n">
        <f aca="false">G22</f>
        <v>250</v>
      </c>
      <c r="L22" s="12" t="n">
        <f aca="false">G22</f>
        <v>250</v>
      </c>
      <c r="M22" s="12" t="n">
        <f aca="false">G22</f>
        <v>250</v>
      </c>
      <c r="N22" s="12" t="n">
        <f aca="false">G22</f>
        <v>250</v>
      </c>
      <c r="O22" s="12" t="n">
        <f aca="false">G22</f>
        <v>250</v>
      </c>
      <c r="P22" s="12" t="n">
        <f aca="false">G22</f>
        <v>250</v>
      </c>
      <c r="Q22" s="12" t="n">
        <f aca="false">G22</f>
        <v>250</v>
      </c>
      <c r="R22" s="12" t="n">
        <f aca="false">G22</f>
        <v>250</v>
      </c>
      <c r="S22" s="12" t="n">
        <f aca="false">G22</f>
        <v>250</v>
      </c>
      <c r="T22" s="89"/>
    </row>
    <row r="23" customFormat="false" ht="15.75" hidden="false" customHeight="true" outlineLevel="0" collapsed="false">
      <c r="D23" s="90" t="s">
        <v>110</v>
      </c>
      <c r="E23" s="90"/>
      <c r="F23" s="90"/>
      <c r="G23" s="91" t="n">
        <f aca="false">G21*G22</f>
        <v>18000</v>
      </c>
      <c r="H23" s="12" t="n">
        <f aca="false">H21*H22</f>
        <v>0</v>
      </c>
      <c r="I23" s="12" t="n">
        <f aca="false">I21*I22</f>
        <v>0</v>
      </c>
      <c r="J23" s="12" t="n">
        <f aca="false">J21*J22</f>
        <v>500</v>
      </c>
      <c r="K23" s="12" t="n">
        <f aca="false">K21*K22</f>
        <v>750</v>
      </c>
      <c r="L23" s="12" t="n">
        <f aca="false">L21*L22</f>
        <v>1000</v>
      </c>
      <c r="M23" s="12" t="n">
        <f aca="false">M21*M22</f>
        <v>1250</v>
      </c>
      <c r="N23" s="12" t="n">
        <f aca="false">N21*N22</f>
        <v>1500</v>
      </c>
      <c r="O23" s="12" t="n">
        <f aca="false">O21*O22</f>
        <v>1750</v>
      </c>
      <c r="P23" s="12" t="n">
        <f aca="false">P21*P22</f>
        <v>2000</v>
      </c>
      <c r="Q23" s="12" t="n">
        <f aca="false">Q21*Q22</f>
        <v>2250</v>
      </c>
      <c r="R23" s="12" t="n">
        <f aca="false">R21*R22</f>
        <v>3250</v>
      </c>
      <c r="S23" s="12" t="n">
        <f aca="false">S21*S22</f>
        <v>3750</v>
      </c>
      <c r="T23" s="12" t="n">
        <f aca="false">G23-H23-I23-J23-K23-L23-M23-N23-O23-P23-Q23-R23-S23</f>
        <v>0</v>
      </c>
    </row>
    <row r="24" customFormat="false" ht="15.75" hidden="false" customHeight="true" outlineLevel="0" collapsed="false">
      <c r="D24" s="92" t="s">
        <v>111</v>
      </c>
      <c r="E24" s="92"/>
      <c r="F24" s="92"/>
      <c r="G24" s="93" t="n">
        <f aca="false">C4*F4</f>
        <v>4680</v>
      </c>
      <c r="H24" s="12" t="n">
        <f aca="false">H21*C4</f>
        <v>0</v>
      </c>
      <c r="I24" s="12" t="n">
        <f aca="false">I21*C4</f>
        <v>0</v>
      </c>
      <c r="J24" s="12" t="n">
        <f aca="false">J21*C4</f>
        <v>130</v>
      </c>
      <c r="K24" s="12" t="n">
        <f aca="false">K21*C4</f>
        <v>195</v>
      </c>
      <c r="L24" s="12" t="n">
        <f aca="false">L21*C4</f>
        <v>260</v>
      </c>
      <c r="M24" s="12" t="n">
        <f aca="false">M21*C4</f>
        <v>325</v>
      </c>
      <c r="N24" s="12" t="n">
        <f aca="false">N21*C4</f>
        <v>390</v>
      </c>
      <c r="O24" s="12" t="n">
        <f aca="false">O21*C4</f>
        <v>455</v>
      </c>
      <c r="P24" s="12" t="n">
        <f aca="false">P21*C4</f>
        <v>520</v>
      </c>
      <c r="Q24" s="12" t="n">
        <f aca="false">Q21*C4</f>
        <v>585</v>
      </c>
      <c r="R24" s="12" t="n">
        <f aca="false">R21*C4</f>
        <v>845</v>
      </c>
      <c r="S24" s="12" t="n">
        <f aca="false">S21*C4</f>
        <v>975</v>
      </c>
      <c r="T24" s="12" t="n">
        <f aca="false">G24-H24-I24-J24-K24-L24-M24-N24-O24-P24-Q24-R24-S24</f>
        <v>0</v>
      </c>
    </row>
    <row r="25" customFormat="false" ht="15.75" hidden="false" customHeight="true" outlineLevel="0" collapsed="false">
      <c r="D25" s="94" t="s">
        <v>112</v>
      </c>
      <c r="E25" s="94"/>
      <c r="F25" s="94"/>
      <c r="G25" s="21" t="n">
        <f aca="false">G23-G24</f>
        <v>13320</v>
      </c>
      <c r="H25" s="32" t="n">
        <f aca="false">H23-H24</f>
        <v>0</v>
      </c>
      <c r="I25" s="32" t="n">
        <f aca="false">I23-I24</f>
        <v>0</v>
      </c>
      <c r="J25" s="32" t="n">
        <f aca="false">J23-J24</f>
        <v>370</v>
      </c>
      <c r="K25" s="32" t="n">
        <f aca="false">K23-K24</f>
        <v>555</v>
      </c>
      <c r="L25" s="32" t="n">
        <f aca="false">L23-L24</f>
        <v>740</v>
      </c>
      <c r="M25" s="32" t="n">
        <f aca="false">M23-M24</f>
        <v>925</v>
      </c>
      <c r="N25" s="32" t="n">
        <f aca="false">N23-N24</f>
        <v>1110</v>
      </c>
      <c r="O25" s="32" t="n">
        <f aca="false">O23-O24</f>
        <v>1295</v>
      </c>
      <c r="P25" s="32" t="n">
        <f aca="false">P23-P24</f>
        <v>1480</v>
      </c>
      <c r="Q25" s="32" t="n">
        <f aca="false">Q23-Q24</f>
        <v>1665</v>
      </c>
      <c r="R25" s="32" t="n">
        <f aca="false">R23-R24</f>
        <v>2405</v>
      </c>
      <c r="S25" s="32" t="n">
        <f aca="false">S23-S24</f>
        <v>2775</v>
      </c>
      <c r="T25" s="12" t="n">
        <f aca="false">G25-H25-I25-J25-K25-L25-M25-N25-O25-P25-Q25-R25-S25</f>
        <v>0</v>
      </c>
    </row>
    <row r="26" customFormat="false" ht="15.75" hidden="false" customHeight="true" outlineLevel="0" collapsed="false"/>
    <row r="27" customFormat="false" ht="15.75" hidden="false" customHeight="true" outlineLevel="0" collapsed="false">
      <c r="G27" s="95" t="s">
        <v>105</v>
      </c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</row>
    <row r="28" customFormat="false" ht="15.75" hidden="false" customHeight="true" outlineLevel="0" collapsed="false">
      <c r="D28" s="96" t="str">
        <f aca="false">B5</f>
        <v>Implantación y parametrización</v>
      </c>
      <c r="E28" s="96"/>
      <c r="F28" s="96"/>
      <c r="G28" s="97" t="s">
        <v>106</v>
      </c>
      <c r="H28" s="97" t="s">
        <v>48</v>
      </c>
      <c r="I28" s="97" t="s">
        <v>49</v>
      </c>
      <c r="J28" s="97" t="s">
        <v>50</v>
      </c>
      <c r="K28" s="97" t="s">
        <v>51</v>
      </c>
      <c r="L28" s="97" t="s">
        <v>52</v>
      </c>
      <c r="M28" s="97" t="s">
        <v>53</v>
      </c>
      <c r="N28" s="97" t="s">
        <v>54</v>
      </c>
      <c r="O28" s="97" t="s">
        <v>55</v>
      </c>
      <c r="P28" s="97" t="s">
        <v>56</v>
      </c>
      <c r="Q28" s="97" t="s">
        <v>57</v>
      </c>
      <c r="R28" s="97" t="s">
        <v>58</v>
      </c>
      <c r="S28" s="97" t="s">
        <v>59</v>
      </c>
      <c r="T28" s="30" t="s">
        <v>107</v>
      </c>
    </row>
    <row r="29" customFormat="false" ht="15.75" hidden="false" customHeight="true" outlineLevel="0" collapsed="false">
      <c r="D29" s="86" t="s">
        <v>108</v>
      </c>
      <c r="E29" s="86"/>
      <c r="F29" s="86"/>
      <c r="G29" s="10" t="n">
        <f aca="false">F5</f>
        <v>5</v>
      </c>
      <c r="H29" s="87" t="n">
        <v>0</v>
      </c>
      <c r="I29" s="87" t="n">
        <v>0</v>
      </c>
      <c r="J29" s="87" t="n">
        <v>0</v>
      </c>
      <c r="K29" s="87" t="n">
        <v>0</v>
      </c>
      <c r="L29" s="87" t="n">
        <v>0</v>
      </c>
      <c r="M29" s="87" t="n">
        <v>1</v>
      </c>
      <c r="N29" s="87" t="n">
        <v>1</v>
      </c>
      <c r="O29" s="87" t="n">
        <v>1</v>
      </c>
      <c r="P29" s="87" t="n">
        <v>1</v>
      </c>
      <c r="Q29" s="87" t="n">
        <v>1</v>
      </c>
      <c r="R29" s="87" t="n">
        <v>0</v>
      </c>
      <c r="S29" s="87" t="n">
        <v>0</v>
      </c>
      <c r="T29" s="88" t="n">
        <f aca="false">G29-H29-I29-J29-K29-L29-M29-N29-O29-P29-Q29-R29-S29</f>
        <v>0</v>
      </c>
    </row>
    <row r="30" customFormat="false" ht="15.75" hidden="false" customHeight="true" outlineLevel="0" collapsed="false">
      <c r="D30" s="86" t="s">
        <v>109</v>
      </c>
      <c r="E30" s="86"/>
      <c r="F30" s="86"/>
      <c r="G30" s="12" t="n">
        <f aca="false">C14</f>
        <v>1500</v>
      </c>
      <c r="H30" s="12" t="n">
        <f aca="false">G30</f>
        <v>1500</v>
      </c>
      <c r="I30" s="12" t="n">
        <f aca="false">G30</f>
        <v>1500</v>
      </c>
      <c r="J30" s="12" t="n">
        <f aca="false">G30</f>
        <v>1500</v>
      </c>
      <c r="K30" s="12" t="n">
        <f aca="false">G30</f>
        <v>1500</v>
      </c>
      <c r="L30" s="12" t="n">
        <f aca="false">G30</f>
        <v>1500</v>
      </c>
      <c r="M30" s="12" t="n">
        <f aca="false">G30</f>
        <v>1500</v>
      </c>
      <c r="N30" s="12" t="n">
        <f aca="false">G30</f>
        <v>1500</v>
      </c>
      <c r="O30" s="12" t="n">
        <f aca="false">G30</f>
        <v>1500</v>
      </c>
      <c r="P30" s="12" t="n">
        <f aca="false">G30</f>
        <v>1500</v>
      </c>
      <c r="Q30" s="12" t="n">
        <f aca="false">G30</f>
        <v>1500</v>
      </c>
      <c r="R30" s="12" t="n">
        <f aca="false">G30</f>
        <v>1500</v>
      </c>
      <c r="S30" s="12" t="n">
        <f aca="false">G30</f>
        <v>1500</v>
      </c>
      <c r="T30" s="89"/>
    </row>
    <row r="31" customFormat="false" ht="15.75" hidden="false" customHeight="true" outlineLevel="0" collapsed="false">
      <c r="D31" s="90" t="s">
        <v>110</v>
      </c>
      <c r="E31" s="90"/>
      <c r="F31" s="90"/>
      <c r="G31" s="91" t="n">
        <f aca="false">G29*G30</f>
        <v>7500</v>
      </c>
      <c r="H31" s="12" t="n">
        <f aca="false">H29*H30</f>
        <v>0</v>
      </c>
      <c r="I31" s="12" t="n">
        <f aca="false">I29*I30</f>
        <v>0</v>
      </c>
      <c r="J31" s="12" t="n">
        <f aca="false">J29*J30</f>
        <v>0</v>
      </c>
      <c r="K31" s="12" t="n">
        <f aca="false">K29*K30</f>
        <v>0</v>
      </c>
      <c r="L31" s="12" t="n">
        <f aca="false">L29*L30</f>
        <v>0</v>
      </c>
      <c r="M31" s="12" t="n">
        <f aca="false">M29*M30</f>
        <v>1500</v>
      </c>
      <c r="N31" s="12" t="n">
        <f aca="false">N29*N30</f>
        <v>1500</v>
      </c>
      <c r="O31" s="12" t="n">
        <f aca="false">O29*O30</f>
        <v>1500</v>
      </c>
      <c r="P31" s="12" t="n">
        <f aca="false">P29*P30</f>
        <v>1500</v>
      </c>
      <c r="Q31" s="12" t="n">
        <f aca="false">Q29*Q30</f>
        <v>1500</v>
      </c>
      <c r="R31" s="12" t="n">
        <f aca="false">R29*R30</f>
        <v>0</v>
      </c>
      <c r="S31" s="12" t="n">
        <f aca="false">S29*S30</f>
        <v>0</v>
      </c>
      <c r="T31" s="12" t="n">
        <f aca="false">G31-H31-I31-J31-K31-L31-M31-N31-O31-P31-Q31-R31-S31</f>
        <v>0</v>
      </c>
    </row>
    <row r="32" customFormat="false" ht="15.75" hidden="false" customHeight="true" outlineLevel="0" collapsed="false">
      <c r="D32" s="92" t="s">
        <v>111</v>
      </c>
      <c r="E32" s="92"/>
      <c r="F32" s="92"/>
      <c r="G32" s="93" t="n">
        <f aca="false">F5*C5</f>
        <v>1500</v>
      </c>
      <c r="H32" s="12" t="n">
        <f aca="false">H29*C5</f>
        <v>0</v>
      </c>
      <c r="I32" s="12" t="n">
        <f aca="false">I29*C5</f>
        <v>0</v>
      </c>
      <c r="J32" s="12" t="n">
        <f aca="false">C5*J29</f>
        <v>0</v>
      </c>
      <c r="K32" s="12" t="n">
        <f aca="false">K29*C5</f>
        <v>0</v>
      </c>
      <c r="L32" s="12" t="n">
        <f aca="false">L29*C5</f>
        <v>0</v>
      </c>
      <c r="M32" s="12" t="n">
        <f aca="false">M29*C5</f>
        <v>300</v>
      </c>
      <c r="N32" s="12" t="n">
        <f aca="false">N29*C5</f>
        <v>300</v>
      </c>
      <c r="O32" s="12" t="n">
        <f aca="false">O29*C5</f>
        <v>300</v>
      </c>
      <c r="P32" s="12" t="n">
        <f aca="false">P29*C5</f>
        <v>300</v>
      </c>
      <c r="Q32" s="12" t="n">
        <f aca="false">Q29*C5</f>
        <v>300</v>
      </c>
      <c r="R32" s="12" t="n">
        <f aca="false">R29*C5</f>
        <v>0</v>
      </c>
      <c r="S32" s="12" t="n">
        <f aca="false">S29*C5</f>
        <v>0</v>
      </c>
      <c r="T32" s="12" t="n">
        <f aca="false">G32-H32-I32-J32-K32-L32-M32-N32-O32-P32-Q32-R32-S32</f>
        <v>0</v>
      </c>
    </row>
    <row r="33" customFormat="false" ht="15.75" hidden="false" customHeight="true" outlineLevel="0" collapsed="false">
      <c r="D33" s="94" t="s">
        <v>112</v>
      </c>
      <c r="E33" s="94"/>
      <c r="F33" s="94"/>
      <c r="G33" s="21" t="n">
        <f aca="false">G31-G32</f>
        <v>6000</v>
      </c>
      <c r="H33" s="32" t="n">
        <f aca="false">H31-H32</f>
        <v>0</v>
      </c>
      <c r="I33" s="32" t="n">
        <f aca="false">I31-I32</f>
        <v>0</v>
      </c>
      <c r="J33" s="32" t="n">
        <f aca="false">J31-J32</f>
        <v>0</v>
      </c>
      <c r="K33" s="32" t="n">
        <f aca="false">K31-K32</f>
        <v>0</v>
      </c>
      <c r="L33" s="32" t="n">
        <f aca="false">L31-L32</f>
        <v>0</v>
      </c>
      <c r="M33" s="32" t="n">
        <f aca="false">M31-M32</f>
        <v>1200</v>
      </c>
      <c r="N33" s="32" t="n">
        <f aca="false">N31-N32</f>
        <v>1200</v>
      </c>
      <c r="O33" s="32" t="n">
        <f aca="false">O31-O32</f>
        <v>1200</v>
      </c>
      <c r="P33" s="32" t="n">
        <f aca="false">P31-P32</f>
        <v>1200</v>
      </c>
      <c r="Q33" s="32" t="n">
        <f aca="false">Q31-Q32</f>
        <v>1200</v>
      </c>
      <c r="R33" s="32" t="n">
        <f aca="false">R31-R32</f>
        <v>0</v>
      </c>
      <c r="S33" s="32" t="n">
        <f aca="false">S31-S32</f>
        <v>0</v>
      </c>
      <c r="T33" s="12" t="n">
        <f aca="false">G33-H33-I33-J33-K33-L33-M33-N33-O33-P33-Q33-R33-S33</f>
        <v>0</v>
      </c>
    </row>
    <row r="34" customFormat="false" ht="15.75" hidden="false" customHeight="true" outlineLevel="0" collapsed="false"/>
    <row r="35" customFormat="false" ht="15.75" hidden="false" customHeight="true" outlineLevel="0" collapsed="false">
      <c r="G35" s="98" t="s">
        <v>105</v>
      </c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</row>
    <row r="36" customFormat="false" ht="15.75" hidden="false" customHeight="true" outlineLevel="0" collapsed="false">
      <c r="D36" s="99" t="str">
        <f aca="false">B6</f>
        <v>Formación y acompañamiento</v>
      </c>
      <c r="E36" s="99"/>
      <c r="F36" s="99"/>
      <c r="G36" s="100" t="s">
        <v>106</v>
      </c>
      <c r="H36" s="100" t="s">
        <v>48</v>
      </c>
      <c r="I36" s="100" t="s">
        <v>49</v>
      </c>
      <c r="J36" s="100" t="s">
        <v>50</v>
      </c>
      <c r="K36" s="100" t="s">
        <v>51</v>
      </c>
      <c r="L36" s="100" t="s">
        <v>52</v>
      </c>
      <c r="M36" s="100" t="s">
        <v>53</v>
      </c>
      <c r="N36" s="100" t="s">
        <v>54</v>
      </c>
      <c r="O36" s="100" t="s">
        <v>55</v>
      </c>
      <c r="P36" s="100" t="s">
        <v>56</v>
      </c>
      <c r="Q36" s="100" t="s">
        <v>57</v>
      </c>
      <c r="R36" s="100" t="s">
        <v>58</v>
      </c>
      <c r="S36" s="100" t="s">
        <v>59</v>
      </c>
      <c r="T36" s="30" t="s">
        <v>107</v>
      </c>
    </row>
    <row r="37" customFormat="false" ht="15.75" hidden="false" customHeight="true" outlineLevel="0" collapsed="false">
      <c r="D37" s="86" t="s">
        <v>108</v>
      </c>
      <c r="E37" s="86"/>
      <c r="F37" s="86"/>
      <c r="G37" s="30" t="n">
        <f aca="false">F6</f>
        <v>9</v>
      </c>
      <c r="H37" s="87" t="n">
        <v>0</v>
      </c>
      <c r="I37" s="87" t="n">
        <v>0</v>
      </c>
      <c r="J37" s="87" t="n">
        <v>0</v>
      </c>
      <c r="K37" s="87" t="n">
        <v>1</v>
      </c>
      <c r="L37" s="87" t="n">
        <v>1</v>
      </c>
      <c r="M37" s="87" t="n">
        <v>1</v>
      </c>
      <c r="N37" s="87" t="n">
        <v>1</v>
      </c>
      <c r="O37" s="87" t="n">
        <v>1</v>
      </c>
      <c r="P37" s="87" t="n">
        <v>1</v>
      </c>
      <c r="Q37" s="87" t="n">
        <v>1</v>
      </c>
      <c r="R37" s="87" t="n">
        <v>1</v>
      </c>
      <c r="S37" s="87" t="n">
        <v>1</v>
      </c>
      <c r="T37" s="88" t="n">
        <f aca="false">G37-H37-I37-J37-K37-L37-M37-N37-O37-P37-Q37-R37-S37</f>
        <v>0</v>
      </c>
    </row>
    <row r="38" customFormat="false" ht="15.75" hidden="false" customHeight="true" outlineLevel="0" collapsed="false">
      <c r="D38" s="86" t="s">
        <v>109</v>
      </c>
      <c r="E38" s="86"/>
      <c r="F38" s="86"/>
      <c r="G38" s="101" t="n">
        <f aca="false">C15</f>
        <v>500</v>
      </c>
      <c r="H38" s="12" t="n">
        <f aca="false">G38</f>
        <v>500</v>
      </c>
      <c r="I38" s="12" t="n">
        <f aca="false">G38</f>
        <v>500</v>
      </c>
      <c r="J38" s="12" t="n">
        <f aca="false">G38</f>
        <v>500</v>
      </c>
      <c r="K38" s="12" t="n">
        <f aca="false">G38</f>
        <v>500</v>
      </c>
      <c r="L38" s="12" t="n">
        <f aca="false">G38</f>
        <v>500</v>
      </c>
      <c r="M38" s="12" t="n">
        <f aca="false">G38</f>
        <v>500</v>
      </c>
      <c r="N38" s="12" t="n">
        <f aca="false">G38</f>
        <v>500</v>
      </c>
      <c r="O38" s="12" t="n">
        <f aca="false">G38</f>
        <v>500</v>
      </c>
      <c r="P38" s="12" t="n">
        <f aca="false">G38</f>
        <v>500</v>
      </c>
      <c r="Q38" s="12" t="n">
        <f aca="false">G38</f>
        <v>500</v>
      </c>
      <c r="R38" s="12" t="n">
        <f aca="false">G38</f>
        <v>500</v>
      </c>
      <c r="S38" s="12" t="n">
        <f aca="false">G38</f>
        <v>500</v>
      </c>
      <c r="T38" s="89"/>
    </row>
    <row r="39" customFormat="false" ht="15.75" hidden="false" customHeight="true" outlineLevel="0" collapsed="false">
      <c r="D39" s="90" t="s">
        <v>110</v>
      </c>
      <c r="E39" s="90"/>
      <c r="F39" s="90"/>
      <c r="G39" s="102" t="n">
        <f aca="false">G37*G38</f>
        <v>4500</v>
      </c>
      <c r="H39" s="12" t="n">
        <f aca="false">H37*H38</f>
        <v>0</v>
      </c>
      <c r="I39" s="12" t="n">
        <f aca="false">I37*I38</f>
        <v>0</v>
      </c>
      <c r="J39" s="12" t="n">
        <f aca="false">J37*J38</f>
        <v>0</v>
      </c>
      <c r="K39" s="12" t="n">
        <f aca="false">K37*K38</f>
        <v>500</v>
      </c>
      <c r="L39" s="12" t="n">
        <f aca="false">L37*L38</f>
        <v>500</v>
      </c>
      <c r="M39" s="12" t="n">
        <f aca="false">M37*M38</f>
        <v>500</v>
      </c>
      <c r="N39" s="12" t="n">
        <f aca="false">N37*N38</f>
        <v>500</v>
      </c>
      <c r="O39" s="12" t="n">
        <f aca="false">O37*O38</f>
        <v>500</v>
      </c>
      <c r="P39" s="12" t="n">
        <f aca="false">P37*P38</f>
        <v>500</v>
      </c>
      <c r="Q39" s="12" t="n">
        <f aca="false">Q37*Q38</f>
        <v>500</v>
      </c>
      <c r="R39" s="12" t="n">
        <f aca="false">R37*R38</f>
        <v>500</v>
      </c>
      <c r="S39" s="12" t="n">
        <f aca="false">S37*S38</f>
        <v>500</v>
      </c>
      <c r="T39" s="12" t="n">
        <f aca="false">G39-H39-I39-J39-K39-L39-M39-N39-O39-P39-Q39-R39-S39</f>
        <v>0</v>
      </c>
    </row>
    <row r="40" customFormat="false" ht="15.75" hidden="false" customHeight="true" outlineLevel="0" collapsed="false">
      <c r="D40" s="92" t="s">
        <v>111</v>
      </c>
      <c r="E40" s="92"/>
      <c r="F40" s="92"/>
      <c r="G40" s="103" t="n">
        <f aca="false">C6*F6</f>
        <v>1350</v>
      </c>
      <c r="H40" s="12" t="n">
        <f aca="false">H37*C6</f>
        <v>0</v>
      </c>
      <c r="I40" s="12" t="n">
        <f aca="false">I37*C6</f>
        <v>0</v>
      </c>
      <c r="J40" s="12" t="n">
        <f aca="false">J37*C6</f>
        <v>0</v>
      </c>
      <c r="K40" s="12" t="n">
        <f aca="false">K37*C6</f>
        <v>150</v>
      </c>
      <c r="L40" s="12" t="n">
        <f aca="false">L37*C6</f>
        <v>150</v>
      </c>
      <c r="M40" s="12" t="n">
        <f aca="false">M37*C6</f>
        <v>150</v>
      </c>
      <c r="N40" s="12" t="n">
        <f aca="false">N37*C6</f>
        <v>150</v>
      </c>
      <c r="O40" s="12" t="n">
        <f aca="false">O37*C6</f>
        <v>150</v>
      </c>
      <c r="P40" s="12" t="n">
        <f aca="false">P37*C6</f>
        <v>150</v>
      </c>
      <c r="Q40" s="12" t="n">
        <f aca="false">Q37*C6</f>
        <v>150</v>
      </c>
      <c r="R40" s="12" t="n">
        <f aca="false">R37*C6</f>
        <v>150</v>
      </c>
      <c r="S40" s="12" t="n">
        <f aca="false">S37*C6</f>
        <v>150</v>
      </c>
      <c r="T40" s="12" t="n">
        <f aca="false">G40-H40-I40-J40-K40-L40-M40-N40-O40-P40-Q40-R40-S40</f>
        <v>0</v>
      </c>
    </row>
    <row r="41" customFormat="false" ht="15.75" hidden="false" customHeight="true" outlineLevel="0" collapsed="false">
      <c r="D41" s="94" t="s">
        <v>112</v>
      </c>
      <c r="E41" s="94"/>
      <c r="F41" s="94"/>
      <c r="G41" s="104" t="n">
        <f aca="false">G39-G40</f>
        <v>3150</v>
      </c>
      <c r="H41" s="32" t="n">
        <f aca="false">H39-H40</f>
        <v>0</v>
      </c>
      <c r="I41" s="32" t="n">
        <f aca="false">I39-I40</f>
        <v>0</v>
      </c>
      <c r="J41" s="32" t="n">
        <f aca="false">J39-J40</f>
        <v>0</v>
      </c>
      <c r="K41" s="32" t="n">
        <f aca="false">K39-K40</f>
        <v>350</v>
      </c>
      <c r="L41" s="32" t="n">
        <f aca="false">L39-L40</f>
        <v>350</v>
      </c>
      <c r="M41" s="32" t="n">
        <f aca="false">M39-M40</f>
        <v>350</v>
      </c>
      <c r="N41" s="32" t="n">
        <f aca="false">N39-N40</f>
        <v>350</v>
      </c>
      <c r="O41" s="32" t="n">
        <f aca="false">O39-O40</f>
        <v>350</v>
      </c>
      <c r="P41" s="32" t="n">
        <f aca="false">P39-P40</f>
        <v>350</v>
      </c>
      <c r="Q41" s="32" t="n">
        <f aca="false">Q39-Q40</f>
        <v>350</v>
      </c>
      <c r="R41" s="32" t="n">
        <f aca="false">R39-R40</f>
        <v>350</v>
      </c>
      <c r="S41" s="32" t="n">
        <f aca="false">S39-S40</f>
        <v>350</v>
      </c>
      <c r="T41" s="12" t="n">
        <f aca="false">G41-H41-I41-J41-K41-L41-M41-N41-O41-P41-Q41-R41-S41</f>
        <v>0</v>
      </c>
    </row>
    <row r="42" customFormat="false" ht="15.75" hidden="false" customHeight="true" outlineLevel="0" collapsed="false"/>
    <row r="43" customFormat="false" ht="15.75" hidden="false" customHeight="true" outlineLevel="0" collapsed="false">
      <c r="G43" s="105" t="s">
        <v>105</v>
      </c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</row>
    <row r="44" customFormat="false" ht="15.75" hidden="false" customHeight="true" outlineLevel="0" collapsed="false">
      <c r="D44" s="106" t="str">
        <f aca="false">B7</f>
        <v>Kit sensórico e integración de campo</v>
      </c>
      <c r="E44" s="106"/>
      <c r="F44" s="106"/>
      <c r="G44" s="107" t="s">
        <v>106</v>
      </c>
      <c r="H44" s="107" t="s">
        <v>48</v>
      </c>
      <c r="I44" s="107" t="s">
        <v>49</v>
      </c>
      <c r="J44" s="107" t="s">
        <v>50</v>
      </c>
      <c r="K44" s="107" t="s">
        <v>51</v>
      </c>
      <c r="L44" s="107" t="s">
        <v>52</v>
      </c>
      <c r="M44" s="107" t="s">
        <v>53</v>
      </c>
      <c r="N44" s="107" t="s">
        <v>54</v>
      </c>
      <c r="O44" s="107" t="s">
        <v>55</v>
      </c>
      <c r="P44" s="107" t="s">
        <v>56</v>
      </c>
      <c r="Q44" s="107" t="s">
        <v>57</v>
      </c>
      <c r="R44" s="107" t="s">
        <v>58</v>
      </c>
      <c r="S44" s="107" t="s">
        <v>59</v>
      </c>
      <c r="T44" s="30" t="s">
        <v>107</v>
      </c>
    </row>
    <row r="45" customFormat="false" ht="15.75" hidden="false" customHeight="true" outlineLevel="0" collapsed="false">
      <c r="D45" s="86" t="s">
        <v>108</v>
      </c>
      <c r="E45" s="86"/>
      <c r="F45" s="86"/>
      <c r="G45" s="30" t="n">
        <f aca="false">F7</f>
        <v>5</v>
      </c>
      <c r="H45" s="87" t="n">
        <v>0</v>
      </c>
      <c r="I45" s="87" t="n">
        <v>0</v>
      </c>
      <c r="J45" s="87" t="n">
        <v>0</v>
      </c>
      <c r="K45" s="87" t="n">
        <v>0</v>
      </c>
      <c r="L45" s="87" t="n">
        <v>0</v>
      </c>
      <c r="M45" s="87" t="n">
        <v>0</v>
      </c>
      <c r="N45" s="87" t="n">
        <v>1</v>
      </c>
      <c r="O45" s="87" t="n">
        <v>1</v>
      </c>
      <c r="P45" s="87" t="n">
        <v>1</v>
      </c>
      <c r="Q45" s="87" t="n">
        <v>1</v>
      </c>
      <c r="R45" s="87" t="n">
        <v>1</v>
      </c>
      <c r="S45" s="87" t="n">
        <v>0</v>
      </c>
      <c r="T45" s="88" t="n">
        <f aca="false">G45-H45-I45-J45-K45-L45-M45-N45-O45-P45-Q45-R45-S45</f>
        <v>0</v>
      </c>
    </row>
    <row r="46" customFormat="false" ht="15.75" hidden="false" customHeight="true" outlineLevel="0" collapsed="false">
      <c r="D46" s="86" t="s">
        <v>109</v>
      </c>
      <c r="E46" s="86"/>
      <c r="F46" s="86"/>
      <c r="G46" s="101" t="n">
        <f aca="false">C16</f>
        <v>1200</v>
      </c>
      <c r="H46" s="12" t="n">
        <f aca="false">G46</f>
        <v>1200</v>
      </c>
      <c r="I46" s="12" t="n">
        <f aca="false">G46</f>
        <v>1200</v>
      </c>
      <c r="J46" s="12" t="n">
        <f aca="false">G46</f>
        <v>1200</v>
      </c>
      <c r="K46" s="12" t="n">
        <f aca="false">G46</f>
        <v>1200</v>
      </c>
      <c r="L46" s="12" t="n">
        <f aca="false">G46</f>
        <v>1200</v>
      </c>
      <c r="M46" s="12" t="n">
        <f aca="false">G46</f>
        <v>1200</v>
      </c>
      <c r="N46" s="12" t="n">
        <f aca="false">G46</f>
        <v>1200</v>
      </c>
      <c r="O46" s="12" t="n">
        <f aca="false">G46</f>
        <v>1200</v>
      </c>
      <c r="P46" s="12" t="n">
        <f aca="false">G46</f>
        <v>1200</v>
      </c>
      <c r="Q46" s="12" t="n">
        <f aca="false">G46</f>
        <v>1200</v>
      </c>
      <c r="R46" s="12" t="n">
        <f aca="false">G46</f>
        <v>1200</v>
      </c>
      <c r="S46" s="12" t="n">
        <f aca="false">G46</f>
        <v>1200</v>
      </c>
      <c r="T46" s="89"/>
    </row>
    <row r="47" customFormat="false" ht="15.75" hidden="false" customHeight="true" outlineLevel="0" collapsed="false">
      <c r="D47" s="90" t="s">
        <v>110</v>
      </c>
      <c r="E47" s="90"/>
      <c r="F47" s="90"/>
      <c r="G47" s="102" t="n">
        <f aca="false">G45*G46</f>
        <v>6000</v>
      </c>
      <c r="H47" s="12" t="n">
        <f aca="false">H45*H46</f>
        <v>0</v>
      </c>
      <c r="I47" s="12" t="n">
        <f aca="false">I45*I46</f>
        <v>0</v>
      </c>
      <c r="J47" s="12" t="n">
        <f aca="false">J45*J46</f>
        <v>0</v>
      </c>
      <c r="K47" s="12" t="n">
        <f aca="false">K45*K46</f>
        <v>0</v>
      </c>
      <c r="L47" s="12" t="n">
        <f aca="false">L45*L46</f>
        <v>0</v>
      </c>
      <c r="M47" s="12" t="n">
        <f aca="false">M45*M46</f>
        <v>0</v>
      </c>
      <c r="N47" s="12" t="n">
        <f aca="false">N45*N46</f>
        <v>1200</v>
      </c>
      <c r="O47" s="12" t="n">
        <f aca="false">O45*O46</f>
        <v>1200</v>
      </c>
      <c r="P47" s="12" t="n">
        <f aca="false">P45*P46</f>
        <v>1200</v>
      </c>
      <c r="Q47" s="12" t="n">
        <f aca="false">Q45*Q46</f>
        <v>1200</v>
      </c>
      <c r="R47" s="12" t="n">
        <f aca="false">R45*R46</f>
        <v>1200</v>
      </c>
      <c r="S47" s="12" t="n">
        <f aca="false">S45*S46</f>
        <v>0</v>
      </c>
      <c r="T47" s="12" t="n">
        <f aca="false">G47-H47-I47-J47-K47-L47-M47-N47-O47-P47-Q47-R47-S47</f>
        <v>0</v>
      </c>
    </row>
    <row r="48" customFormat="false" ht="15.75" hidden="false" customHeight="true" outlineLevel="0" collapsed="false">
      <c r="D48" s="92" t="s">
        <v>111</v>
      </c>
      <c r="E48" s="92"/>
      <c r="F48" s="92"/>
      <c r="G48" s="103" t="n">
        <f aca="false">C7*F7</f>
        <v>2000</v>
      </c>
      <c r="H48" s="12" t="n">
        <f aca="false">H45*C7</f>
        <v>0</v>
      </c>
      <c r="I48" s="12" t="n">
        <f aca="false">I45*C7</f>
        <v>0</v>
      </c>
      <c r="J48" s="12" t="n">
        <f aca="false">J45*C7</f>
        <v>0</v>
      </c>
      <c r="K48" s="12" t="n">
        <f aca="false">K45*C7</f>
        <v>0</v>
      </c>
      <c r="L48" s="12" t="n">
        <f aca="false">L45*C7</f>
        <v>0</v>
      </c>
      <c r="M48" s="12" t="n">
        <f aca="false">M45*C7</f>
        <v>0</v>
      </c>
      <c r="N48" s="12" t="n">
        <f aca="false">N45*C7</f>
        <v>400</v>
      </c>
      <c r="O48" s="12" t="n">
        <f aca="false">O45*C7</f>
        <v>400</v>
      </c>
      <c r="P48" s="12" t="n">
        <f aca="false">P45*C7</f>
        <v>400</v>
      </c>
      <c r="Q48" s="12" t="n">
        <f aca="false">Q45*C7</f>
        <v>400</v>
      </c>
      <c r="R48" s="12" t="n">
        <f aca="false">R45*C7</f>
        <v>400</v>
      </c>
      <c r="S48" s="12" t="n">
        <f aca="false">S45*C7</f>
        <v>0</v>
      </c>
      <c r="T48" s="12" t="n">
        <f aca="false">G48-H48-I48-J48-K48-L48-M48-N48-O48-P48-Q48-R48-S48</f>
        <v>0</v>
      </c>
    </row>
    <row r="49" customFormat="false" ht="15.75" hidden="false" customHeight="true" outlineLevel="0" collapsed="false">
      <c r="D49" s="94" t="s">
        <v>112</v>
      </c>
      <c r="E49" s="94"/>
      <c r="F49" s="94"/>
      <c r="G49" s="104" t="n">
        <f aca="false">G47-G48</f>
        <v>4000</v>
      </c>
      <c r="H49" s="32" t="n">
        <f aca="false">H47-H48</f>
        <v>0</v>
      </c>
      <c r="I49" s="32" t="n">
        <f aca="false">I47-I48</f>
        <v>0</v>
      </c>
      <c r="J49" s="32" t="n">
        <f aca="false">J47-J48</f>
        <v>0</v>
      </c>
      <c r="K49" s="32" t="n">
        <f aca="false">K47-K48</f>
        <v>0</v>
      </c>
      <c r="L49" s="32" t="n">
        <f aca="false">L47-L48</f>
        <v>0</v>
      </c>
      <c r="M49" s="32" t="n">
        <f aca="false">M47-M48</f>
        <v>0</v>
      </c>
      <c r="N49" s="32" t="n">
        <f aca="false">N47-N48</f>
        <v>800</v>
      </c>
      <c r="O49" s="32" t="n">
        <f aca="false">O47-O48</f>
        <v>800</v>
      </c>
      <c r="P49" s="32" t="n">
        <f aca="false">P47-P48</f>
        <v>800</v>
      </c>
      <c r="Q49" s="32" t="n">
        <f aca="false">Q47-Q48</f>
        <v>800</v>
      </c>
      <c r="R49" s="32" t="n">
        <f aca="false">R47-R48</f>
        <v>800</v>
      </c>
      <c r="S49" s="32" t="n">
        <f aca="false">S47-S48</f>
        <v>0</v>
      </c>
      <c r="T49" s="12" t="n">
        <f aca="false">G49-H49-I49-J49-K49-L49-M49-N49-O49-P49-Q49-R49-S49</f>
        <v>0</v>
      </c>
    </row>
    <row r="50" customFormat="false" ht="15.75" hidden="false" customHeight="true" outlineLevel="0" collapsed="false"/>
    <row r="51" customFormat="false" ht="15.75" hidden="false" customHeight="true" outlineLevel="0" collapsed="false">
      <c r="G51" s="108" t="s">
        <v>105</v>
      </c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</row>
    <row r="52" customFormat="false" ht="15.75" hidden="false" customHeight="true" outlineLevel="0" collapsed="false">
      <c r="D52" s="109" t="str">
        <f aca="false">B8</f>
        <v>Consultoría y evidencias</v>
      </c>
      <c r="E52" s="109"/>
      <c r="F52" s="109"/>
      <c r="G52" s="110" t="s">
        <v>106</v>
      </c>
      <c r="H52" s="110" t="s">
        <v>48</v>
      </c>
      <c r="I52" s="110" t="s">
        <v>49</v>
      </c>
      <c r="J52" s="110" t="s">
        <v>50</v>
      </c>
      <c r="K52" s="110" t="s">
        <v>51</v>
      </c>
      <c r="L52" s="110" t="s">
        <v>52</v>
      </c>
      <c r="M52" s="110" t="s">
        <v>53</v>
      </c>
      <c r="N52" s="110" t="s">
        <v>54</v>
      </c>
      <c r="O52" s="110" t="s">
        <v>55</v>
      </c>
      <c r="P52" s="110" t="s">
        <v>56</v>
      </c>
      <c r="Q52" s="110" t="s">
        <v>57</v>
      </c>
      <c r="R52" s="110" t="s">
        <v>58</v>
      </c>
      <c r="S52" s="110" t="s">
        <v>59</v>
      </c>
      <c r="T52" s="30" t="s">
        <v>107</v>
      </c>
    </row>
    <row r="53" customFormat="false" ht="15.75" hidden="false" customHeight="true" outlineLevel="0" collapsed="false">
      <c r="D53" s="86" t="s">
        <v>108</v>
      </c>
      <c r="E53" s="86"/>
      <c r="F53" s="86"/>
      <c r="G53" s="30" t="n">
        <f aca="false">F8</f>
        <v>3</v>
      </c>
      <c r="H53" s="87" t="n">
        <v>0</v>
      </c>
      <c r="I53" s="87" t="n">
        <v>0</v>
      </c>
      <c r="J53" s="87" t="n">
        <v>0</v>
      </c>
      <c r="K53" s="87" t="n">
        <v>0</v>
      </c>
      <c r="L53" s="87" t="n">
        <v>0</v>
      </c>
      <c r="M53" s="87" t="n">
        <v>0</v>
      </c>
      <c r="N53" s="87" t="n">
        <v>0</v>
      </c>
      <c r="O53" s="87" t="n">
        <v>1</v>
      </c>
      <c r="P53" s="87" t="n">
        <v>1</v>
      </c>
      <c r="Q53" s="87" t="n">
        <v>1</v>
      </c>
      <c r="R53" s="87" t="n">
        <v>0</v>
      </c>
      <c r="S53" s="87" t="n">
        <v>0</v>
      </c>
      <c r="T53" s="88" t="n">
        <f aca="false">G53-H53-I53-J53-K53-L53-M53-N53-O53-P53-Q53-R53-S53</f>
        <v>0</v>
      </c>
    </row>
    <row r="54" customFormat="false" ht="15.75" hidden="false" customHeight="true" outlineLevel="0" collapsed="false">
      <c r="D54" s="86" t="s">
        <v>109</v>
      </c>
      <c r="E54" s="86"/>
      <c r="F54" s="86"/>
      <c r="G54" s="101" t="n">
        <f aca="false">C17</f>
        <v>1166.66666666667</v>
      </c>
      <c r="H54" s="12" t="n">
        <f aca="false">G54</f>
        <v>1166.66666666667</v>
      </c>
      <c r="I54" s="12" t="n">
        <f aca="false">G54</f>
        <v>1166.66666666667</v>
      </c>
      <c r="J54" s="12" t="n">
        <f aca="false">G54</f>
        <v>1166.66666666667</v>
      </c>
      <c r="K54" s="12" t="n">
        <f aca="false">G54</f>
        <v>1166.66666666667</v>
      </c>
      <c r="L54" s="12" t="n">
        <f aca="false">G54</f>
        <v>1166.66666666667</v>
      </c>
      <c r="M54" s="12" t="n">
        <f aca="false">G54</f>
        <v>1166.66666666667</v>
      </c>
      <c r="N54" s="12" t="n">
        <f aca="false">G54</f>
        <v>1166.66666666667</v>
      </c>
      <c r="O54" s="12" t="n">
        <f aca="false">G54</f>
        <v>1166.66666666667</v>
      </c>
      <c r="P54" s="12" t="n">
        <f aca="false">G54</f>
        <v>1166.66666666667</v>
      </c>
      <c r="Q54" s="12" t="n">
        <f aca="false">G54</f>
        <v>1166.66666666667</v>
      </c>
      <c r="R54" s="12" t="n">
        <f aca="false">G54</f>
        <v>1166.66666666667</v>
      </c>
      <c r="S54" s="12" t="n">
        <f aca="false">G54</f>
        <v>1166.66666666667</v>
      </c>
      <c r="T54" s="89"/>
    </row>
    <row r="55" customFormat="false" ht="15.75" hidden="false" customHeight="true" outlineLevel="0" collapsed="false">
      <c r="D55" s="90" t="s">
        <v>110</v>
      </c>
      <c r="E55" s="90"/>
      <c r="F55" s="90"/>
      <c r="G55" s="102" t="n">
        <f aca="false">G53*G54</f>
        <v>3500.00000000001</v>
      </c>
      <c r="H55" s="12" t="n">
        <f aca="false">H53*H54</f>
        <v>0</v>
      </c>
      <c r="I55" s="12" t="n">
        <f aca="false">I53*I54</f>
        <v>0</v>
      </c>
      <c r="J55" s="12" t="n">
        <f aca="false">J53*J54</f>
        <v>0</v>
      </c>
      <c r="K55" s="12" t="n">
        <f aca="false">K53*K54</f>
        <v>0</v>
      </c>
      <c r="L55" s="12" t="n">
        <f aca="false">L53*L54</f>
        <v>0</v>
      </c>
      <c r="M55" s="12" t="n">
        <f aca="false">M53*M54</f>
        <v>0</v>
      </c>
      <c r="N55" s="12" t="n">
        <f aca="false">N53*N54</f>
        <v>0</v>
      </c>
      <c r="O55" s="12" t="n">
        <f aca="false">O53*O54</f>
        <v>1166.66666666667</v>
      </c>
      <c r="P55" s="12" t="n">
        <f aca="false">P53*P54</f>
        <v>1166.66666666667</v>
      </c>
      <c r="Q55" s="12" t="n">
        <f aca="false">Q53*Q54</f>
        <v>1166.66666666667</v>
      </c>
      <c r="R55" s="12" t="n">
        <f aca="false">R53*R54</f>
        <v>0</v>
      </c>
      <c r="S55" s="12" t="n">
        <f aca="false">S53*S54</f>
        <v>0</v>
      </c>
      <c r="T55" s="12" t="n">
        <f aca="false">G55-H55-I55-J55-K55-L55-M55-N55-O55-P55-Q55-R55-S55</f>
        <v>0</v>
      </c>
    </row>
    <row r="56" customFormat="false" ht="15.75" hidden="false" customHeight="true" outlineLevel="0" collapsed="false">
      <c r="D56" s="92" t="s">
        <v>111</v>
      </c>
      <c r="E56" s="92"/>
      <c r="F56" s="92"/>
      <c r="G56" s="103" t="n">
        <f aca="false">C8*F8</f>
        <v>1174.5</v>
      </c>
      <c r="H56" s="12" t="n">
        <f aca="false">H53*C8</f>
        <v>0</v>
      </c>
      <c r="I56" s="12" t="n">
        <f aca="false">I53*C8</f>
        <v>0</v>
      </c>
      <c r="J56" s="12" t="n">
        <f aca="false">J53*C8</f>
        <v>0</v>
      </c>
      <c r="K56" s="12" t="n">
        <f aca="false">K53*C8</f>
        <v>0</v>
      </c>
      <c r="L56" s="12" t="n">
        <f aca="false">L53*C8</f>
        <v>0</v>
      </c>
      <c r="M56" s="12" t="n">
        <f aca="false">M53*C8</f>
        <v>0</v>
      </c>
      <c r="N56" s="12" t="n">
        <f aca="false">N53*C8</f>
        <v>0</v>
      </c>
      <c r="O56" s="12" t="n">
        <f aca="false">O53*C8</f>
        <v>391.5</v>
      </c>
      <c r="P56" s="12" t="n">
        <f aca="false">P53*C8</f>
        <v>391.5</v>
      </c>
      <c r="Q56" s="12" t="n">
        <f aca="false">Q53*C8</f>
        <v>391.5</v>
      </c>
      <c r="R56" s="12" t="n">
        <f aca="false">R53*C8</f>
        <v>0</v>
      </c>
      <c r="S56" s="12" t="n">
        <f aca="false">S53*C8</f>
        <v>0</v>
      </c>
      <c r="T56" s="12" t="n">
        <f aca="false">G56-H56-I56-J56-K56-L56-M56-N56-O56-P56-Q56-R56-S56</f>
        <v>0</v>
      </c>
    </row>
    <row r="57" customFormat="false" ht="15.75" hidden="false" customHeight="true" outlineLevel="0" collapsed="false">
      <c r="D57" s="94" t="s">
        <v>112</v>
      </c>
      <c r="E57" s="94"/>
      <c r="F57" s="94"/>
      <c r="G57" s="104" t="n">
        <f aca="false">G55-G56</f>
        <v>2325.50000000001</v>
      </c>
      <c r="H57" s="32" t="n">
        <f aca="false">H55-H56</f>
        <v>0</v>
      </c>
      <c r="I57" s="32" t="n">
        <f aca="false">I55-I56</f>
        <v>0</v>
      </c>
      <c r="J57" s="32" t="n">
        <f aca="false">J55-J56</f>
        <v>0</v>
      </c>
      <c r="K57" s="32" t="n">
        <f aca="false">K55-K56</f>
        <v>0</v>
      </c>
      <c r="L57" s="32" t="n">
        <f aca="false">L55-L56</f>
        <v>0</v>
      </c>
      <c r="M57" s="32" t="n">
        <f aca="false">M55-M56</f>
        <v>0</v>
      </c>
      <c r="N57" s="32" t="n">
        <f aca="false">N55-N56</f>
        <v>0</v>
      </c>
      <c r="O57" s="32" t="n">
        <f aca="false">O55-O56</f>
        <v>775.16666666667</v>
      </c>
      <c r="P57" s="32" t="n">
        <f aca="false">P55-P56</f>
        <v>775.16666666667</v>
      </c>
      <c r="Q57" s="32" t="n">
        <f aca="false">Q55-Q56</f>
        <v>775.16666666667</v>
      </c>
      <c r="R57" s="32" t="n">
        <f aca="false">R55-R56</f>
        <v>0</v>
      </c>
      <c r="S57" s="32" t="n">
        <f aca="false">S55-S56</f>
        <v>0</v>
      </c>
      <c r="T57" s="12" t="n">
        <f aca="false">G57-H57-I57-J57-K57-L57-M57-N57-O57-P57-Q57-R57-S57</f>
        <v>0</v>
      </c>
    </row>
    <row r="58" customFormat="false" ht="15.75" hidden="false" customHeight="true" outlineLevel="0" collapsed="false"/>
    <row r="59" customFormat="false" ht="15.75" hidden="false" customHeight="true" outlineLevel="0" collapsed="false">
      <c r="E59" s="28" t="s">
        <v>113</v>
      </c>
    </row>
    <row r="60" customFormat="false" ht="15.75" hidden="false" customHeight="true" outlineLevel="0" collapsed="false">
      <c r="B60" s="111" t="s">
        <v>114</v>
      </c>
      <c r="C60" s="111"/>
      <c r="D60" s="111"/>
      <c r="E60" s="112" t="n">
        <f aca="false">SUM(G23,G31,G39,G47,G55)</f>
        <v>39500</v>
      </c>
    </row>
    <row r="61" customFormat="false" ht="15.75" hidden="false" customHeight="true" outlineLevel="0" collapsed="false">
      <c r="B61" s="113" t="s">
        <v>115</v>
      </c>
      <c r="C61" s="113"/>
      <c r="D61" s="113"/>
      <c r="E61" s="114" t="n">
        <f aca="false">SUM(G24,G32,G40,G48,G56)</f>
        <v>10704.5</v>
      </c>
    </row>
    <row r="62" customFormat="false" ht="15.75" hidden="false" customHeight="true" outlineLevel="0" collapsed="false">
      <c r="B62" s="115" t="s">
        <v>116</v>
      </c>
      <c r="C62" s="115"/>
      <c r="D62" s="115"/>
      <c r="E62" s="21" t="n">
        <f aca="false">E60-E61</f>
        <v>28795.5</v>
      </c>
    </row>
    <row r="63" customFormat="false" ht="15.75" hidden="false" customHeight="true" outlineLevel="0" collapsed="false">
      <c r="B63" s="75" t="s">
        <v>117</v>
      </c>
      <c r="E63" s="75" t="n">
        <f aca="false">IFERROR(E62/E60,0)</f>
        <v>0.729</v>
      </c>
    </row>
    <row r="64" customFormat="false" ht="15.75" hidden="false" customHeight="true" outlineLevel="0" collapsed="false">
      <c r="A64" s="116" t="s">
        <v>118</v>
      </c>
      <c r="B64" s="116"/>
      <c r="C64" s="116"/>
      <c r="D64" s="116"/>
      <c r="E64" s="116"/>
      <c r="F64" s="116"/>
      <c r="G64" s="116"/>
      <c r="H64" s="116"/>
      <c r="I64" s="116"/>
      <c r="J64" s="116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</sheetData>
  <sheetProtection algorithmName="SHA-512" hashValue="zhgmhB38tgehIM21/OhAkz6yJEeNH6aR7nn/htZAQF3XxkaaihdY49GM/ITpds3rgOD3oSgX3l1NMsRPecRonw==" saltValue="yxYlcagYyG+AZvz2TuOL0A==" spinCount="100000" sheet="true" objects="true" scenarios="true"/>
  <mergeCells count="41">
    <mergeCell ref="B2:G2"/>
    <mergeCell ref="B11:G11"/>
    <mergeCell ref="G19:S19"/>
    <mergeCell ref="D20:F20"/>
    <mergeCell ref="D21:F21"/>
    <mergeCell ref="D22:F22"/>
    <mergeCell ref="D23:F23"/>
    <mergeCell ref="D24:F24"/>
    <mergeCell ref="D25:F25"/>
    <mergeCell ref="G27:S27"/>
    <mergeCell ref="D28:F28"/>
    <mergeCell ref="D29:F29"/>
    <mergeCell ref="D30:F30"/>
    <mergeCell ref="D31:F31"/>
    <mergeCell ref="D32:F32"/>
    <mergeCell ref="D33:F33"/>
    <mergeCell ref="G35:S35"/>
    <mergeCell ref="D36:F36"/>
    <mergeCell ref="D37:F37"/>
    <mergeCell ref="D38:F38"/>
    <mergeCell ref="D39:F39"/>
    <mergeCell ref="D40:F40"/>
    <mergeCell ref="D41:F41"/>
    <mergeCell ref="G43:S43"/>
    <mergeCell ref="D44:F44"/>
    <mergeCell ref="D45:F45"/>
    <mergeCell ref="D46:F46"/>
    <mergeCell ref="D47:F47"/>
    <mergeCell ref="D48:F48"/>
    <mergeCell ref="D49:F49"/>
    <mergeCell ref="G51:S51"/>
    <mergeCell ref="D52:F52"/>
    <mergeCell ref="D53:F53"/>
    <mergeCell ref="D54:F54"/>
    <mergeCell ref="D55:F55"/>
    <mergeCell ref="D56:F56"/>
    <mergeCell ref="D57:F57"/>
    <mergeCell ref="B60:D60"/>
    <mergeCell ref="B61:D61"/>
    <mergeCell ref="B62:D62"/>
    <mergeCell ref="A64:J64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3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4.50390625" defaultRowHeight="15" zeroHeight="false" outlineLevelRow="0" outlineLevelCol="0"/>
  <cols>
    <col collapsed="false" customWidth="true" hidden="false" outlineLevel="0" max="1" min="1" style="1" width="10.67"/>
    <col collapsed="false" customWidth="true" hidden="false" outlineLevel="0" max="2" min="2" style="1" width="12.67"/>
    <col collapsed="false" customWidth="true" hidden="false" outlineLevel="0" max="5" min="3" style="1" width="11.83"/>
    <col collapsed="false" customWidth="true" hidden="false" outlineLevel="0" max="7" min="6" style="1" width="10.67"/>
    <col collapsed="false" customWidth="true" hidden="false" outlineLevel="0" max="8" min="8" style="1" width="29.5"/>
    <col collapsed="false" customWidth="true" hidden="false" outlineLevel="0" max="9" min="9" style="1" width="11.83"/>
    <col collapsed="false" customWidth="true" hidden="false" outlineLevel="0" max="26" min="10" style="1" width="10.67"/>
    <col collapsed="false" customWidth="false" hidden="false" outlineLevel="0" max="16384" min="27" style="1" width="14.5"/>
  </cols>
  <sheetData>
    <row r="3" customFormat="false" ht="49.5" hidden="false" customHeight="true" outlineLevel="0" collapsed="false">
      <c r="B3" s="25" t="s">
        <v>119</v>
      </c>
      <c r="C3" s="25"/>
      <c r="D3" s="25"/>
      <c r="H3" s="117"/>
    </row>
    <row r="5" customFormat="false" ht="15.75" hidden="false" customHeight="true" outlineLevel="0" collapsed="false">
      <c r="B5" s="62" t="s">
        <v>120</v>
      </c>
      <c r="C5" s="62"/>
      <c r="D5" s="62"/>
      <c r="E5" s="62"/>
      <c r="H5" s="25" t="s">
        <v>9</v>
      </c>
      <c r="I5" s="25" t="s">
        <v>10</v>
      </c>
      <c r="K5" s="118"/>
    </row>
    <row r="6" customFormat="false" ht="15.75" hidden="false" customHeight="true" outlineLevel="0" collapsed="false">
      <c r="B6" s="119"/>
      <c r="C6" s="52" t="s">
        <v>121</v>
      </c>
      <c r="D6" s="52" t="s">
        <v>122</v>
      </c>
      <c r="E6" s="52" t="s">
        <v>123</v>
      </c>
      <c r="H6" s="30" t="s">
        <v>124</v>
      </c>
      <c r="I6" s="32" t="n">
        <f aca="false">C8+D8+E8+C14+D14+E14+C20+D20+E20+C26+D26+E26</f>
        <v>24430.945</v>
      </c>
    </row>
    <row r="7" customFormat="false" ht="15" hidden="false" customHeight="true" outlineLevel="0" collapsed="false">
      <c r="B7" s="30" t="s">
        <v>125</v>
      </c>
      <c r="C7" s="12" t="n">
        <f aca="false">(('Costes produción y ventas'!E13-'Costes produción y ventas'!C13)*'Costes produción y ventas'!H21)+(('Costes produción y ventas'!E14-'Costes produción y ventas'!C14)*'Costes produción y ventas'!H29)+(('Costes produción y ventas'!E15-'Costes produción y ventas'!C15)*'Costes produción y ventas'!H37)+(('Costes produción y ventas'!E16-'Costes produción y ventas'!C16)*'Costes produción y ventas'!H45)+(('Costes produción y ventas'!E17-'Costes produción y ventas'!C17)*'Costes produción y ventas'!H53)</f>
        <v>0</v>
      </c>
      <c r="D7" s="12" t="n">
        <f aca="false">(('Costes produción y ventas'!E13-'Costes produción y ventas'!C13)*'Costes produción y ventas'!I21)+(('Costes produción y ventas'!E14-'Costes produción y ventas'!C14)*'Costes produción y ventas'!I29)+(('Costes produción y ventas'!E15-'Costes produción y ventas'!C15)*'Costes produción y ventas'!I37)+(('Costes produción y ventas'!E16-'Costes produción y ventas'!C16)*'Costes produción y ventas'!I45)+(('Costes produción y ventas'!E17-'Costes produción y ventas'!C17)*'Costes produción y ventas'!I53)</f>
        <v>0</v>
      </c>
      <c r="E7" s="12" t="n">
        <f aca="false">(('Costes produción y ventas'!E13-'Costes produción y ventas'!C13)*'Costes produción y ventas'!J21)+(('Costes produción y ventas'!E14-'Costes produción y ventas'!C14)*'Costes produción y ventas'!J29)+(('Costes produción y ventas'!E15-'Costes produción y ventas'!C15)*'Costes produción y ventas'!J37)+(('Costes produción y ventas'!E16-'Costes produción y ventas'!C16)*'Costes produción y ventas'!J45)+(('Costes produción y ventas'!E17-'Costes produción y ventas'!C17)*'Costes produción y ventas'!J53)</f>
        <v>105</v>
      </c>
      <c r="H7" s="30" t="s">
        <v>126</v>
      </c>
      <c r="I7" s="32" t="n">
        <f aca="false">C7+D7+E7+C13+D13+E13+C19+D19+E19+C25+D25+E25</f>
        <v>8295</v>
      </c>
    </row>
    <row r="8" customFormat="false" ht="15" hidden="false" customHeight="true" outlineLevel="0" collapsed="false">
      <c r="B8" s="30" t="s">
        <v>127</v>
      </c>
      <c r="C8" s="12" t="n">
        <f aca="false">(('Costes produción y ventas'!E4-'Costes produción y ventas'!C4)*'Costes produción y ventas'!H21)+(('Costes produción y ventas'!E5-'Costes produción y ventas'!C5)*'Costes produción y ventas'!H29)+(('Costes produción y ventas'!E6-'Costes produción y ventas'!C6)*'Costes produción y ventas'!H37)+(('Costes produción y ventas'!E7-'Costes produción y ventas'!C7)*'Costes produción y ventas'!H45)+(('Costes produción y ventas'!E8-'Costes produción y ventas'!C8)*'Costes produción y ventas'!H53)+('Gasto Fijos y Variables'!F23+'Gasto Fijos y Variables'!F43)+'Inversión Inicial'!K12</f>
        <v>19628</v>
      </c>
      <c r="D8" s="12" t="n">
        <f aca="false">(('Costes produción y ventas'!E4-'Costes produción y ventas'!C4)*'Costes produción y ventas'!I21)+(('Costes produción y ventas'!E5-'Costes produción y ventas'!C5)*'Costes produción y ventas'!I29)+(('Costes produción y ventas'!E6-'Costes produción y ventas'!C6)*'Costes produción y ventas'!I37)+(('Costes produción y ventas'!E7-'Costes produción y ventas'!C7)*'Costes produción y ventas'!I45)+(('Costes produción y ventas'!E8-'Costes produción y ventas'!C8)*'Costes produción y ventas'!I53)+('Gasto Fijos y Variables'!J23+'Gasto Fijos y Variables'!J43)</f>
        <v>255.5</v>
      </c>
      <c r="E8" s="12" t="n">
        <f aca="false">(('Costes produción y ventas'!E4-'Costes produción y ventas'!C4)*'Costes produción y ventas'!J21)+(('Costes produción y ventas'!E5-'Costes produción y ventas'!C5)*'Costes produción y ventas'!J29)+(('Costes produción y ventas'!E6-'Costes produción y ventas'!C6)*'Costes produción y ventas'!J37)+(('Costes produción y ventas'!E7-'Costes produción y ventas'!C7)*'Costes produción y ventas'!J45)+(('Costes produción y ventas'!E8-'Costes produción y ventas'!C8)*'Costes produción y ventas'!J53)+('Gasto Fijos y Variables'!N23+'Gasto Fijos y Variables'!N43)</f>
        <v>282.8</v>
      </c>
      <c r="H8" s="30" t="s">
        <v>128</v>
      </c>
      <c r="I8" s="32" t="n">
        <f aca="false">C9+D9+E9</f>
        <v>-20061.3</v>
      </c>
    </row>
    <row r="9" customFormat="false" ht="15" hidden="false" customHeight="true" outlineLevel="0" collapsed="false">
      <c r="B9" s="30" t="s">
        <v>129</v>
      </c>
      <c r="C9" s="12" t="n">
        <f aca="false">C7-C8</f>
        <v>-19628</v>
      </c>
      <c r="D9" s="12" t="n">
        <f aca="false">D7-D8</f>
        <v>-255.5</v>
      </c>
      <c r="E9" s="12" t="n">
        <f aca="false">E7-E8</f>
        <v>-177.8</v>
      </c>
      <c r="H9" s="30" t="s">
        <v>130</v>
      </c>
      <c r="I9" s="32" t="n">
        <f aca="false">C15+D15+E15</f>
        <v>172.2</v>
      </c>
    </row>
    <row r="10" customFormat="false" ht="15" hidden="false" customHeight="true" outlineLevel="0" collapsed="false">
      <c r="H10" s="30" t="s">
        <v>131</v>
      </c>
      <c r="I10" s="32" t="n">
        <f aca="false">C21+D21+E21</f>
        <v>1855.42</v>
      </c>
    </row>
    <row r="11" customFormat="false" ht="15" hidden="false" customHeight="true" outlineLevel="0" collapsed="false">
      <c r="B11" s="120" t="s">
        <v>132</v>
      </c>
      <c r="C11" s="120"/>
      <c r="D11" s="120"/>
      <c r="E11" s="120"/>
      <c r="H11" s="30" t="s">
        <v>133</v>
      </c>
      <c r="I11" s="32" t="n">
        <f aca="false">C27+D27+E27</f>
        <v>1897.735</v>
      </c>
    </row>
    <row r="12" customFormat="false" ht="15" hidden="false" customHeight="true" outlineLevel="0" collapsed="false">
      <c r="B12" s="121"/>
      <c r="C12" s="46" t="s">
        <v>134</v>
      </c>
      <c r="D12" s="46" t="s">
        <v>135</v>
      </c>
      <c r="E12" s="46" t="s">
        <v>136</v>
      </c>
      <c r="H12" s="30" t="s">
        <v>137</v>
      </c>
      <c r="I12" s="32" t="n">
        <f aca="false">I11</f>
        <v>1897.735</v>
      </c>
    </row>
    <row r="13" customFormat="false" ht="15" hidden="false" customHeight="true" outlineLevel="0" collapsed="false">
      <c r="B13" s="75" t="s">
        <v>125</v>
      </c>
      <c r="C13" s="12" t="n">
        <f aca="false">(('Costes produción y ventas'!E13-'Costes produción y ventas'!C13)*'Costes produción y ventas'!K21)+(('Costes produción y ventas'!E14-'Costes produción y ventas'!C14)*'Costes produción y ventas'!K29)+(('Costes produción y ventas'!E15-'Costes produción y ventas'!C15)*'Costes produción y ventas'!K37)+(('Costes produción y ventas'!E16-'Costes produción y ventas'!C16)*'Costes produción y ventas'!K45)+(('Costes produción y ventas'!E17-'Costes produción y ventas'!C17)*'Costes produción y ventas'!K53)</f>
        <v>262.5</v>
      </c>
      <c r="D13" s="12" t="n">
        <f aca="false">(('Costes produción y ventas'!E13-'Costes produción y ventas'!C13)*'Costes produción y ventas'!L21)+(('Costes produción y ventas'!E14-'Costes produción y ventas'!C14)*'Costes produción y ventas'!L29)+(('Costes produción y ventas'!E15-'Costes produción y ventas'!C15)*'Costes produción y ventas'!L37)+(('Costes produción y ventas'!E16-'Costes produción y ventas'!C16)*'Costes produción y ventas'!L45)+(('Costes produción y ventas'!E17-'Costes produción y ventas'!C17)*'Costes produción y ventas'!L53)</f>
        <v>315</v>
      </c>
      <c r="E13" s="12" t="n">
        <f aca="false">(('Costes produción y ventas'!E13-'Costes produción y ventas'!C13)*'Costes produción y ventas'!M21)+(('Costes produción y ventas'!E14-'Costes produción y ventas'!C14)*'Costes produción y ventas'!M29)+(('Costes produción y ventas'!E15-'Costes produción y ventas'!C15)*'Costes produción y ventas'!M37)+(('Costes produción y ventas'!E16-'Costes produción y ventas'!C16)*'Costes produción y ventas'!M45)+(('Costes produción y ventas'!E17-'Costes produción y ventas'!C17)*'Costes produción y ventas'!M53)</f>
        <v>682.5</v>
      </c>
      <c r="I13" s="72"/>
    </row>
    <row r="14" customFormat="false" ht="15" hidden="false" customHeight="true" outlineLevel="0" collapsed="false">
      <c r="B14" s="75" t="s">
        <v>127</v>
      </c>
      <c r="C14" s="12" t="n">
        <f aca="false">(('Costes produción y ventas'!E4-'Costes produción y ventas'!C4)*'Costes produción y ventas'!K21)+(('Costes produción y ventas'!E5-'Costes produción y ventas'!C5)*'Costes produción y ventas'!K29)+(('Costes produción y ventas'!E6-'Costes produción y ventas'!C6)*'Costes produción y ventas'!K37)+(('Costes produción y ventas'!E7-'Costes produción y ventas'!C7)*'Costes produción y ventas'!K45)+(('Costes produción y ventas'!E8-'Costes produción y ventas'!C8)*'Costes produción y ventas'!K53)+('Gasto Fijos y Variables'!R23+'Gasto Fijos y Variables'!R43)</f>
        <v>327.95</v>
      </c>
      <c r="D14" s="12" t="n">
        <f aca="false">(('Costes produción y ventas'!E4-'Costes produción y ventas'!C4)*'Costes produción y ventas'!L21)+(('Costes produción y ventas'!E5-'Costes produción y ventas'!C5)*'Costes produción y ventas'!L29)+(('Costes produción y ventas'!E6-'Costes produción y ventas'!C6)*'Costes produción y ventas'!L37)+(('Costes produción y ventas'!E7-'Costes produción y ventas'!C7)*'Costes produción y ventas'!L45)+(('Costes produción y ventas'!E8-'Costes produción y ventas'!C8)*'Costes produción y ventas'!L53)+('Gasto Fijos y Variables'!V23+'Gasto Fijos y Variables'!V43)</f>
        <v>341.6</v>
      </c>
      <c r="E14" s="12" t="n">
        <f aca="false">(('Costes produción y ventas'!E4-'Costes produción y ventas'!C4)*'Costes produción y ventas'!M21)+(('Costes produción y ventas'!E5-'Costes produción y ventas'!C5)*'Costes produción y ventas'!M29)+(('Costes produción y ventas'!E6-'Costes produción y ventas'!C6)*'Costes produción y ventas'!M37)+(('Costes produción y ventas'!E7-'Costes produción y ventas'!C7)*'Costes produción y ventas'!M45)+(('Costes produción y ventas'!E8-'Costes produción y ventas'!C8)*'Costes produción y ventas'!M53)+('Gasto Fijos y Variables'!Z23+'Gasto Fijos y Variables'!Z43)</f>
        <v>418.25</v>
      </c>
    </row>
    <row r="15" customFormat="false" ht="15" hidden="false" customHeight="true" outlineLevel="0" collapsed="false">
      <c r="B15" s="75" t="s">
        <v>129</v>
      </c>
      <c r="C15" s="12" t="n">
        <f aca="false">C13-C14</f>
        <v>-65.4499999999998</v>
      </c>
      <c r="D15" s="12" t="n">
        <f aca="false">D13-D14</f>
        <v>-26.5999999999999</v>
      </c>
      <c r="E15" s="12" t="n">
        <f aca="false">E13-E14</f>
        <v>264.25</v>
      </c>
    </row>
    <row r="17" customFormat="false" ht="15" hidden="false" customHeight="true" outlineLevel="0" collapsed="false">
      <c r="B17" s="45" t="s">
        <v>138</v>
      </c>
      <c r="C17" s="45"/>
      <c r="D17" s="45"/>
      <c r="E17" s="45"/>
    </row>
    <row r="18" customFormat="false" ht="15" hidden="false" customHeight="true" outlineLevel="0" collapsed="false">
      <c r="B18" s="119"/>
      <c r="C18" s="52" t="s">
        <v>139</v>
      </c>
      <c r="D18" s="52" t="s">
        <v>140</v>
      </c>
      <c r="E18" s="52" t="s">
        <v>141</v>
      </c>
    </row>
    <row r="19" customFormat="false" ht="15" hidden="false" customHeight="true" outlineLevel="0" collapsed="false">
      <c r="B19" s="30" t="s">
        <v>125</v>
      </c>
      <c r="C19" s="12" t="n">
        <f aca="false">(('Costes produción y ventas'!E13-'Costes produción y ventas'!C13)*'Costes produción y ventas'!N21)+(('Costes produción y ventas'!E14-'Costes produción y ventas'!C14)*'Costes produción y ventas'!N29)+(('Costes produción y ventas'!E15-'Costes produción y ventas'!C15)*'Costes produción y ventas'!N37)+(('Costes produción y ventas'!E16-'Costes produción y ventas'!C16)*'Costes produción y ventas'!N45)+(('Costes produción y ventas'!E17-'Costes produción y ventas'!C17)*'Costes produción y ventas'!N53)</f>
        <v>987</v>
      </c>
      <c r="D19" s="12" t="n">
        <f aca="false">(('Costes produción y ventas'!E13-'Costes produción y ventas'!C13)*'Costes produción y ventas'!O21)+(('Costes produción y ventas'!E14-'Costes produción y ventas'!C14)*'Costes produción y ventas'!O29)+(('Costes produción y ventas'!E15-'Costes produción y ventas'!C15)*'Costes produción y ventas'!O37)+(('Costes produción y ventas'!E16-'Costes produción y ventas'!C16)*'Costes produción y ventas'!O45)+(('Costes produción y ventas'!E17-'Costes produción y ventas'!C17)*'Costes produción y ventas'!O53)</f>
        <v>1284.5</v>
      </c>
      <c r="E19" s="12" t="n">
        <f aca="false">(('Costes produción y ventas'!E13-'Costes produción y ventas'!C13)*'Costes produción y ventas'!P21)+(('Costes produción y ventas'!E14-'Costes produción y ventas'!C14)*'Costes produción y ventas'!P29)+(('Costes produción y ventas'!E15-'Costes produción y ventas'!C15)*'Costes produción y ventas'!P37)+(('Costes produción y ventas'!E16-'Costes produción y ventas'!C16)*'Costes produción y ventas'!P45)+(('Costes produción y ventas'!E17-'Costes produción y ventas'!C17)*'Costes produción y ventas'!P53)</f>
        <v>1337</v>
      </c>
    </row>
    <row r="20" customFormat="false" ht="15" hidden="false" customHeight="true" outlineLevel="0" collapsed="false">
      <c r="B20" s="30" t="s">
        <v>127</v>
      </c>
      <c r="C20" s="12" t="n">
        <f aca="false">(('Costes produción y ventas'!E4-'Costes produción y ventas'!C4)*'Costes produción y ventas'!N21)+(('Costes produción y ventas'!E5-'Costes produción y ventas'!C5)*'Costes produción y ventas'!N29)+(('Costes produción y ventas'!E6-'Costes produción y ventas'!C6)*'Costes produción y ventas'!N37)+(('Costes produción y ventas'!E7-'Costes produción y ventas'!C7)*'Costes produción y ventas'!N45)+(('Costes produción y ventas'!E8-'Costes produción y ventas'!C8)*'Costes produción y ventas'!N53)+('Gasto Fijos y Variables'!AD23+'Gasto Fijos y Variables'!AD43)</f>
        <v>515.9</v>
      </c>
      <c r="D20" s="12" t="n">
        <f aca="false">(('Costes produción y ventas'!E4-'Costes produción y ventas'!C4)*'Costes produción y ventas'!O21)+(('Costes produción y ventas'!E5-'Costes produción y ventas'!C5)*'Costes produción y ventas'!O29)+(('Costes produción y ventas'!E6-'Costes produción y ventas'!C6)*'Costes produción y ventas'!O37)+(('Costes produción y ventas'!E7-'Costes produción y ventas'!C7)*'Costes produción y ventas'!O45)+(('Costes produción y ventas'!E8-'Costes produción y ventas'!C8)*'Costes produción y ventas'!O53)+('Gasto Fijos y Variables'!AH23+'Gasto Fijos y Variables'!AH43)</f>
        <v>611.765</v>
      </c>
      <c r="E20" s="12" t="n">
        <f aca="false">(('Costes produción y ventas'!E4-'Costes produción y ventas'!C4)*'Costes produción y ventas'!P21)+(('Costes produción y ventas'!E5-'Costes produción y ventas'!C5)*'Costes produción y ventas'!P29)+(('Costes produción y ventas'!E6-'Costes produción y ventas'!C6)*'Costes produción y ventas'!P37)+(('Costes produción y ventas'!E7-'Costes produción y ventas'!C7)*'Costes produción y ventas'!P45)+(('Costes produción y ventas'!E8-'Costes produción y ventas'!C8)*'Costes produción y ventas'!P53)+('Gasto Fijos y Variables'!AL23+'Gasto Fijos y Variables'!AL43)</f>
        <v>625.415</v>
      </c>
    </row>
    <row r="21" customFormat="false" ht="15.75" hidden="false" customHeight="true" outlineLevel="0" collapsed="false">
      <c r="B21" s="30" t="s">
        <v>129</v>
      </c>
      <c r="C21" s="12" t="n">
        <f aca="false">C19-C20</f>
        <v>471.1</v>
      </c>
      <c r="D21" s="12" t="n">
        <f aca="false">D19-D20</f>
        <v>672.735000000001</v>
      </c>
      <c r="E21" s="12" t="n">
        <f aca="false">E19-E20</f>
        <v>711.585000000001</v>
      </c>
    </row>
    <row r="22" customFormat="false" ht="15.75" hidden="false" customHeight="true" outlineLevel="0" collapsed="false"/>
    <row r="23" customFormat="false" ht="15.75" hidden="false" customHeight="true" outlineLevel="0" collapsed="false">
      <c r="B23" s="45" t="s">
        <v>142</v>
      </c>
      <c r="C23" s="45"/>
      <c r="D23" s="45"/>
      <c r="E23" s="45"/>
    </row>
    <row r="24" customFormat="false" ht="15.75" hidden="false" customHeight="true" outlineLevel="0" collapsed="false">
      <c r="B24" s="119"/>
      <c r="C24" s="52" t="s">
        <v>143</v>
      </c>
      <c r="D24" s="52" t="s">
        <v>144</v>
      </c>
      <c r="E24" s="52" t="s">
        <v>145</v>
      </c>
    </row>
    <row r="25" customFormat="false" ht="15.75" hidden="false" customHeight="true" outlineLevel="0" collapsed="false">
      <c r="B25" s="30" t="s">
        <v>125</v>
      </c>
      <c r="C25" s="12" t="n">
        <f aca="false">(('Costes produción y ventas'!E13-'Costes produción y ventas'!C13)*'Costes produción y ventas'!Q21)+(('Costes produción y ventas'!E14-'Costes produción y ventas'!C14)*'Costes produción y ventas'!Q29)+(('Costes produción y ventas'!E15-'Costes produción y ventas'!C15)*'Costes produción y ventas'!Q37)+(('Costes produción y ventas'!E16-'Costes produción y ventas'!C16)*'Costes produción y ventas'!Q45)+(('Costes produción y ventas'!E17-'Costes produción y ventas'!C17)*'Costes produción y ventas'!Q53)</f>
        <v>1389.5</v>
      </c>
      <c r="D25" s="12" t="n">
        <f aca="false">(('Costes produción y ventas'!E13-'Costes produción y ventas'!C13)*'Costes produción y ventas'!R21)+(('Costes produción y ventas'!E14-'Costes produción y ventas'!C14)*'Costes produción y ventas'!R29)+(('Costes produción y ventas'!E15-'Costes produción y ventas'!C15)*'Costes produción y ventas'!R37)+(('Costes produción y ventas'!E16-'Costes produción y ventas'!C16)*'Costes produción y ventas'!R45)+(('Costes produción y ventas'!E17-'Costes produción y ventas'!C17)*'Costes produción y ventas'!R53)</f>
        <v>1039.5</v>
      </c>
      <c r="E25" s="12" t="n">
        <f aca="false">(('Costes produción y ventas'!E13-'Costes produción y ventas'!C13)*'Costes produción y ventas'!S21)+(('Costes produción y ventas'!E14-'Costes produción y ventas'!C14)*'Costes produción y ventas'!S29)+(('Costes produción y ventas'!E15-'Costes produción y ventas'!C15)*'Costes produción y ventas'!S37)+(('Costes produción y ventas'!E16-'Costes produción y ventas'!C16)*'Costes produción y ventas'!S45)+(('Costes produción y ventas'!E17-'Costes produción y ventas'!C17)*'Costes produción y ventas'!S53)</f>
        <v>892.5</v>
      </c>
    </row>
    <row r="26" customFormat="false" ht="15.75" hidden="false" customHeight="true" outlineLevel="0" collapsed="false">
      <c r="B26" s="30" t="s">
        <v>127</v>
      </c>
      <c r="C26" s="12" t="n">
        <f aca="false">(('Costes produción y ventas'!E4-'Costes produción y ventas'!C4)*'Costes produción y ventas'!Q21)+(('Costes produción y ventas'!E5-'Costes produción y ventas'!C5)*'Costes produción y ventas'!Q29)+(('Costes produción y ventas'!E6-'Costes produción y ventas'!C6)*'Costes produción y ventas'!Q37)+(('Costes produción y ventas'!E7-'Costes produción y ventas'!C7)*'Costes produción y ventas'!Q45)+(('Costes produción y ventas'!E8-'Costes produción y ventas'!C8)*'Costes produción y ventas'!Q53)+('Gasto Fijos y Variables'!AP23+'Gasto Fijos y Variables'!AP43)</f>
        <v>639.065</v>
      </c>
      <c r="D26" s="12" t="n">
        <f aca="false">(('Costes produción y ventas'!E4-'Costes produción y ventas'!C4)*'Costes produción y ventas'!R21)+(('Costes produción y ventas'!E5-'Costes produción y ventas'!C5)*'Costes produción y ventas'!R29)+(('Costes produción y ventas'!E6-'Costes produción y ventas'!C6)*'Costes produción y ventas'!R37)+(('Costes produción y ventas'!E7-'Costes produción y ventas'!C7)*'Costes produción y ventas'!R45)+(('Costes produción y ventas'!E8-'Costes produción y ventas'!C8)*'Costes produción y ventas'!R53)+('Gasto Fijos y Variables'!AT23+'Gasto Fijos y Variables'!AT43)</f>
        <v>548.45</v>
      </c>
      <c r="E26" s="12" t="n">
        <f aca="false">(('Costes produción y ventas'!E4-'Costes produción y ventas'!C4)*'Costes produción y ventas'!S21)+(('Costes produción y ventas'!E5-'Costes produción y ventas'!C5)*'Costes produción y ventas'!S29)+(('Costes produción y ventas'!E6-'Costes produción y ventas'!C6)*'Costes produción y ventas'!S37)+(('Costes produción y ventas'!E7-'Costes produción y ventas'!C7)*'Costes produción y ventas'!S45)+(('Costes produción y ventas'!E8-'Costes produción y ventas'!C8)*'Costes produción y ventas'!S53)+('Gasto Fijos y Variables'!AX23+'Gasto Fijos y Variables'!AX43)</f>
        <v>236.25</v>
      </c>
    </row>
    <row r="27" customFormat="false" ht="15.75" hidden="false" customHeight="true" outlineLevel="0" collapsed="false">
      <c r="B27" s="30" t="s">
        <v>129</v>
      </c>
      <c r="C27" s="12" t="n">
        <f aca="false">C25-C26</f>
        <v>750.435000000001</v>
      </c>
      <c r="D27" s="12" t="n">
        <f aca="false">D25-D26</f>
        <v>491.05</v>
      </c>
      <c r="E27" s="12" t="n">
        <f aca="false">E25-E26</f>
        <v>656.25</v>
      </c>
    </row>
    <row r="28" customFormat="false" ht="15.75" hidden="false" customHeight="true" outlineLevel="0" collapsed="false"/>
    <row r="29" customFormat="false" ht="15.75" hidden="false" customHeight="true" outlineLevel="0" collapsed="false">
      <c r="B29" s="122" t="s">
        <v>146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sheetProtection algorithmName="SHA-512" hashValue="r6MdZHsaWnABdaeLbCRIsFMtp7mh+RxcduUlIJqnYqH7NtURTP6LQaGk5z4p4JbGvZb5T9NZPVl2kNVxT7diyw==" saltValue="sCzzLMfBpd5ZieTtBmfu+A==" spinCount="100000" sheet="true" objects="true" scenarios="true"/>
  <mergeCells count="5">
    <mergeCell ref="B3:D3"/>
    <mergeCell ref="B5:E5"/>
    <mergeCell ref="B11:E11"/>
    <mergeCell ref="B17:E17"/>
    <mergeCell ref="B23:E23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1015"/>
  <sheetViews>
    <sheetView showFormulas="false" showGridLines="fals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D46" activeCellId="0" sqref="D46"/>
    </sheetView>
  </sheetViews>
  <sheetFormatPr defaultColWidth="14.50390625" defaultRowHeight="15" zeroHeight="false" outlineLevelRow="0" outlineLevelCol="0"/>
  <cols>
    <col collapsed="false" customWidth="true" hidden="false" outlineLevel="0" max="1" min="1" style="1" width="2.17"/>
    <col collapsed="false" customWidth="true" hidden="false" outlineLevel="0" max="2" min="2" style="1" width="29"/>
    <col collapsed="false" customWidth="true" hidden="false" outlineLevel="0" max="3" min="3" style="1" width="14.34"/>
    <col collapsed="false" customWidth="true" hidden="false" outlineLevel="0" max="4" min="4" style="1" width="11.83"/>
    <col collapsed="false" customWidth="true" hidden="false" outlineLevel="0" max="5" min="5" style="1" width="4.83"/>
    <col collapsed="false" customWidth="true" hidden="false" outlineLevel="0" max="6" min="6" style="1" width="10.83"/>
    <col collapsed="false" customWidth="true" hidden="false" outlineLevel="0" max="7" min="7" style="1" width="11.83"/>
    <col collapsed="false" customWidth="true" hidden="false" outlineLevel="0" max="8" min="8" style="1" width="11.33"/>
    <col collapsed="false" customWidth="true" hidden="false" outlineLevel="0" max="9" min="9" style="1" width="4.83"/>
    <col collapsed="false" customWidth="true" hidden="false" outlineLevel="0" max="10" min="10" style="1" width="10.83"/>
    <col collapsed="false" customWidth="true" hidden="false" outlineLevel="0" max="11" min="11" style="1" width="11.83"/>
    <col collapsed="false" customWidth="true" hidden="false" outlineLevel="0" max="12" min="12" style="1" width="11.33"/>
    <col collapsed="false" customWidth="true" hidden="false" outlineLevel="0" max="13" min="13" style="1" width="4.83"/>
    <col collapsed="false" customWidth="true" hidden="false" outlineLevel="0" max="14" min="14" style="1" width="10.67"/>
    <col collapsed="false" customWidth="true" hidden="false" outlineLevel="0" max="15" min="15" style="1" width="11.83"/>
    <col collapsed="false" customWidth="true" hidden="false" outlineLevel="0" max="16" min="16" style="1" width="11.33"/>
    <col collapsed="false" customWidth="true" hidden="false" outlineLevel="0" max="17" min="17" style="1" width="4.83"/>
    <col collapsed="false" customWidth="true" hidden="false" outlineLevel="0" max="18" min="18" style="1" width="10.67"/>
    <col collapsed="false" customWidth="true" hidden="false" outlineLevel="0" max="19" min="19" style="1" width="11.83"/>
    <col collapsed="false" customWidth="true" hidden="false" outlineLevel="0" max="20" min="20" style="1" width="11.33"/>
    <col collapsed="false" customWidth="true" hidden="false" outlineLevel="0" max="21" min="21" style="1" width="4.83"/>
    <col collapsed="false" customWidth="true" hidden="false" outlineLevel="0" max="22" min="22" style="1" width="10.67"/>
    <col collapsed="false" customWidth="true" hidden="false" outlineLevel="0" max="23" min="23" style="1" width="11.83"/>
    <col collapsed="false" customWidth="true" hidden="false" outlineLevel="0" max="24" min="24" style="1" width="11.33"/>
    <col collapsed="false" customWidth="true" hidden="false" outlineLevel="0" max="25" min="25" style="1" width="4.83"/>
    <col collapsed="false" customWidth="true" hidden="false" outlineLevel="0" max="26" min="26" style="1" width="10.67"/>
    <col collapsed="false" customWidth="true" hidden="false" outlineLevel="0" max="27" min="27" style="1" width="11.83"/>
    <col collapsed="false" customWidth="true" hidden="false" outlineLevel="0" max="28" min="28" style="1" width="11.33"/>
    <col collapsed="false" customWidth="true" hidden="false" outlineLevel="0" max="29" min="29" style="1" width="4.83"/>
    <col collapsed="false" customWidth="true" hidden="false" outlineLevel="0" max="30" min="30" style="1" width="10.67"/>
    <col collapsed="false" customWidth="true" hidden="false" outlineLevel="0" max="31" min="31" style="1" width="11.83"/>
    <col collapsed="false" customWidth="true" hidden="false" outlineLevel="0" max="32" min="32" style="1" width="11.33"/>
    <col collapsed="false" customWidth="true" hidden="false" outlineLevel="0" max="33" min="33" style="1" width="4.83"/>
    <col collapsed="false" customWidth="true" hidden="false" outlineLevel="0" max="34" min="34" style="1" width="10.67"/>
    <col collapsed="false" customWidth="true" hidden="false" outlineLevel="0" max="35" min="35" style="1" width="11.83"/>
    <col collapsed="false" customWidth="true" hidden="false" outlineLevel="0" max="36" min="36" style="1" width="11.33"/>
    <col collapsed="false" customWidth="true" hidden="false" outlineLevel="0" max="37" min="37" style="1" width="4.83"/>
    <col collapsed="false" customWidth="true" hidden="false" outlineLevel="0" max="38" min="38" style="1" width="10.67"/>
    <col collapsed="false" customWidth="true" hidden="false" outlineLevel="0" max="39" min="39" style="1" width="11.83"/>
    <col collapsed="false" customWidth="true" hidden="false" outlineLevel="0" max="40" min="40" style="1" width="11.33"/>
    <col collapsed="false" customWidth="true" hidden="false" outlineLevel="0" max="41" min="41" style="1" width="4.83"/>
    <col collapsed="false" customWidth="true" hidden="false" outlineLevel="0" max="42" min="42" style="1" width="10.67"/>
    <col collapsed="false" customWidth="true" hidden="false" outlineLevel="0" max="43" min="43" style="1" width="11.83"/>
    <col collapsed="false" customWidth="true" hidden="false" outlineLevel="0" max="44" min="44" style="1" width="11.33"/>
    <col collapsed="false" customWidth="true" hidden="false" outlineLevel="0" max="45" min="45" style="1" width="4.83"/>
    <col collapsed="false" customWidth="true" hidden="false" outlineLevel="0" max="46" min="46" style="1" width="10.67"/>
    <col collapsed="false" customWidth="true" hidden="false" outlineLevel="0" max="47" min="47" style="1" width="11.83"/>
    <col collapsed="false" customWidth="true" hidden="false" outlineLevel="0" max="48" min="48" style="1" width="11.33"/>
    <col collapsed="false" customWidth="true" hidden="false" outlineLevel="0" max="49" min="49" style="1" width="4.83"/>
    <col collapsed="false" customWidth="true" hidden="false" outlineLevel="0" max="50" min="50" style="1" width="10.67"/>
    <col collapsed="false" customWidth="true" hidden="false" outlineLevel="0" max="51" min="51" style="1" width="11.83"/>
    <col collapsed="false" customWidth="true" hidden="false" outlineLevel="0" max="52" min="52" style="1" width="10.67"/>
    <col collapsed="false" customWidth="false" hidden="false" outlineLevel="0" max="16384" min="53" style="1" width="14.5"/>
  </cols>
  <sheetData>
    <row r="1" customFormat="false" ht="15" hidden="false" customHeight="true" outlineLevel="0" collapsed="false">
      <c r="C1" s="83"/>
      <c r="D1" s="83"/>
    </row>
    <row r="2" customFormat="false" ht="15" hidden="false" customHeight="true" outlineLevel="0" collapsed="false">
      <c r="C2" s="83"/>
      <c r="D2" s="83"/>
    </row>
    <row r="3" customFormat="false" ht="49.5" hidden="false" customHeight="true" outlineLevel="0" collapsed="false">
      <c r="B3" s="2" t="s">
        <v>147</v>
      </c>
      <c r="C3" s="2"/>
      <c r="D3" s="2"/>
      <c r="E3" s="4"/>
      <c r="F3" s="4"/>
      <c r="G3" s="4"/>
    </row>
    <row r="4" customFormat="false" ht="22.5" hidden="false" customHeight="true" outlineLevel="0" collapsed="false">
      <c r="B4" s="123"/>
      <c r="C4" s="123"/>
      <c r="D4" s="123"/>
      <c r="E4" s="4"/>
      <c r="F4" s="4"/>
      <c r="G4" s="4"/>
    </row>
    <row r="5" customFormat="false" ht="15.75" hidden="false" customHeight="true" outlineLevel="0" collapsed="false">
      <c r="B5" s="4"/>
      <c r="C5" s="24"/>
      <c r="D5" s="124" t="s">
        <v>121</v>
      </c>
      <c r="E5" s="124"/>
      <c r="F5" s="124"/>
      <c r="G5" s="124"/>
      <c r="H5" s="124" t="s">
        <v>122</v>
      </c>
      <c r="I5" s="124"/>
      <c r="J5" s="124"/>
      <c r="K5" s="124"/>
      <c r="L5" s="86" t="s">
        <v>123</v>
      </c>
      <c r="M5" s="86"/>
      <c r="N5" s="86"/>
      <c r="O5" s="86"/>
      <c r="P5" s="86" t="s">
        <v>134</v>
      </c>
      <c r="Q5" s="86"/>
      <c r="R5" s="86"/>
      <c r="S5" s="86"/>
      <c r="T5" s="86" t="s">
        <v>135</v>
      </c>
      <c r="U5" s="86"/>
      <c r="V5" s="86"/>
      <c r="W5" s="86"/>
      <c r="X5" s="86" t="s">
        <v>136</v>
      </c>
      <c r="Y5" s="86"/>
      <c r="Z5" s="86"/>
      <c r="AA5" s="86"/>
      <c r="AB5" s="86" t="s">
        <v>139</v>
      </c>
      <c r="AC5" s="86"/>
      <c r="AD5" s="86"/>
      <c r="AE5" s="86"/>
      <c r="AF5" s="86" t="s">
        <v>140</v>
      </c>
      <c r="AG5" s="86"/>
      <c r="AH5" s="86"/>
      <c r="AI5" s="86"/>
      <c r="AJ5" s="86" t="s">
        <v>141</v>
      </c>
      <c r="AK5" s="86"/>
      <c r="AL5" s="86"/>
      <c r="AM5" s="86"/>
      <c r="AN5" s="86" t="s">
        <v>143</v>
      </c>
      <c r="AO5" s="86"/>
      <c r="AP5" s="86"/>
      <c r="AQ5" s="86"/>
      <c r="AR5" s="86" t="s">
        <v>144</v>
      </c>
      <c r="AS5" s="86"/>
      <c r="AT5" s="86"/>
      <c r="AU5" s="86"/>
      <c r="AV5" s="86" t="s">
        <v>145</v>
      </c>
      <c r="AW5" s="86"/>
      <c r="AX5" s="86"/>
      <c r="AY5" s="86"/>
    </row>
    <row r="6" customFormat="false" ht="15" hidden="false" customHeight="true" outlineLevel="0" collapsed="false">
      <c r="A6" s="83"/>
      <c r="B6" s="125" t="s">
        <v>148</v>
      </c>
      <c r="C6" s="28" t="s">
        <v>149</v>
      </c>
      <c r="D6" s="28" t="s">
        <v>150</v>
      </c>
      <c r="E6" s="28" t="s">
        <v>46</v>
      </c>
      <c r="F6" s="28" t="s">
        <v>151</v>
      </c>
      <c r="G6" s="28" t="s">
        <v>152</v>
      </c>
      <c r="H6" s="28" t="s">
        <v>150</v>
      </c>
      <c r="I6" s="28" t="s">
        <v>46</v>
      </c>
      <c r="J6" s="28" t="s">
        <v>151</v>
      </c>
      <c r="K6" s="28" t="s">
        <v>152</v>
      </c>
      <c r="L6" s="28" t="s">
        <v>150</v>
      </c>
      <c r="M6" s="28" t="s">
        <v>46</v>
      </c>
      <c r="N6" s="28" t="s">
        <v>151</v>
      </c>
      <c r="O6" s="28" t="s">
        <v>152</v>
      </c>
      <c r="P6" s="28" t="s">
        <v>150</v>
      </c>
      <c r="Q6" s="28" t="s">
        <v>46</v>
      </c>
      <c r="R6" s="28" t="s">
        <v>151</v>
      </c>
      <c r="S6" s="28" t="s">
        <v>152</v>
      </c>
      <c r="T6" s="28" t="s">
        <v>150</v>
      </c>
      <c r="U6" s="28" t="s">
        <v>46</v>
      </c>
      <c r="V6" s="28" t="s">
        <v>151</v>
      </c>
      <c r="W6" s="28" t="s">
        <v>152</v>
      </c>
      <c r="X6" s="28" t="s">
        <v>150</v>
      </c>
      <c r="Y6" s="28" t="s">
        <v>46</v>
      </c>
      <c r="Z6" s="28" t="s">
        <v>151</v>
      </c>
      <c r="AA6" s="28" t="s">
        <v>152</v>
      </c>
      <c r="AB6" s="28" t="s">
        <v>150</v>
      </c>
      <c r="AC6" s="28" t="s">
        <v>46</v>
      </c>
      <c r="AD6" s="28" t="s">
        <v>151</v>
      </c>
      <c r="AE6" s="28" t="s">
        <v>152</v>
      </c>
      <c r="AF6" s="28" t="s">
        <v>150</v>
      </c>
      <c r="AG6" s="28" t="s">
        <v>46</v>
      </c>
      <c r="AH6" s="28" t="s">
        <v>151</v>
      </c>
      <c r="AI6" s="28" t="s">
        <v>152</v>
      </c>
      <c r="AJ6" s="28" t="s">
        <v>150</v>
      </c>
      <c r="AK6" s="28" t="s">
        <v>46</v>
      </c>
      <c r="AL6" s="28" t="s">
        <v>151</v>
      </c>
      <c r="AM6" s="28" t="s">
        <v>152</v>
      </c>
      <c r="AN6" s="28" t="s">
        <v>150</v>
      </c>
      <c r="AO6" s="28" t="s">
        <v>46</v>
      </c>
      <c r="AP6" s="28" t="s">
        <v>151</v>
      </c>
      <c r="AQ6" s="28" t="s">
        <v>152</v>
      </c>
      <c r="AR6" s="28" t="s">
        <v>150</v>
      </c>
      <c r="AS6" s="28" t="s">
        <v>46</v>
      </c>
      <c r="AT6" s="28" t="s">
        <v>151</v>
      </c>
      <c r="AU6" s="28" t="s">
        <v>152</v>
      </c>
      <c r="AV6" s="28" t="s">
        <v>150</v>
      </c>
      <c r="AW6" s="28" t="s">
        <v>46</v>
      </c>
      <c r="AX6" s="28" t="s">
        <v>151</v>
      </c>
      <c r="AY6" s="28" t="s">
        <v>152</v>
      </c>
      <c r="AZ6" s="30" t="s">
        <v>153</v>
      </c>
    </row>
    <row r="7" customFormat="false" ht="15" hidden="false" customHeight="true" outlineLevel="0" collapsed="false">
      <c r="A7" s="63"/>
      <c r="B7" s="126" t="s">
        <v>154</v>
      </c>
      <c r="C7" s="11" t="n">
        <v>0</v>
      </c>
      <c r="D7" s="11" t="n">
        <v>0</v>
      </c>
      <c r="E7" s="31" t="n">
        <v>0.21</v>
      </c>
      <c r="F7" s="12" t="n">
        <f aca="false">D7*E7</f>
        <v>0</v>
      </c>
      <c r="G7" s="32" t="n">
        <f aca="false">D7+F7</f>
        <v>0</v>
      </c>
      <c r="H7" s="11" t="n">
        <v>0</v>
      </c>
      <c r="I7" s="31" t="n">
        <v>0.21</v>
      </c>
      <c r="J7" s="12" t="n">
        <f aca="false">H7*I7</f>
        <v>0</v>
      </c>
      <c r="K7" s="32" t="n">
        <f aca="false">H7+J7</f>
        <v>0</v>
      </c>
      <c r="L7" s="11" t="n">
        <v>0</v>
      </c>
      <c r="M7" s="31" t="n">
        <v>0.21</v>
      </c>
      <c r="N7" s="12" t="n">
        <f aca="false">L7*M7</f>
        <v>0</v>
      </c>
      <c r="O7" s="32" t="n">
        <f aca="false">L7+N7</f>
        <v>0</v>
      </c>
      <c r="P7" s="11" t="n">
        <v>0</v>
      </c>
      <c r="Q7" s="31" t="n">
        <v>0.21</v>
      </c>
      <c r="R7" s="12" t="n">
        <f aca="false">P7*Q7</f>
        <v>0</v>
      </c>
      <c r="S7" s="32" t="n">
        <f aca="false">P7+R7</f>
        <v>0</v>
      </c>
      <c r="T7" s="11" t="n">
        <v>0</v>
      </c>
      <c r="U7" s="31" t="n">
        <v>0.21</v>
      </c>
      <c r="V7" s="12" t="n">
        <f aca="false">T7*U7</f>
        <v>0</v>
      </c>
      <c r="W7" s="32" t="n">
        <f aca="false">T7+V7</f>
        <v>0</v>
      </c>
      <c r="X7" s="11" t="n">
        <v>0</v>
      </c>
      <c r="Y7" s="31" t="n">
        <v>0.21</v>
      </c>
      <c r="Z7" s="12" t="n">
        <f aca="false">X7*Y7</f>
        <v>0</v>
      </c>
      <c r="AA7" s="32" t="n">
        <f aca="false">X7+Z7</f>
        <v>0</v>
      </c>
      <c r="AB7" s="11" t="n">
        <v>0</v>
      </c>
      <c r="AC7" s="31" t="n">
        <v>0.21</v>
      </c>
      <c r="AD7" s="12" t="n">
        <f aca="false">AB7*AC7</f>
        <v>0</v>
      </c>
      <c r="AE7" s="32" t="n">
        <f aca="false">AB7+AD7</f>
        <v>0</v>
      </c>
      <c r="AF7" s="11" t="n">
        <v>0</v>
      </c>
      <c r="AG7" s="31" t="n">
        <v>0.21</v>
      </c>
      <c r="AH7" s="12" t="n">
        <f aca="false">AF7*AG7</f>
        <v>0</v>
      </c>
      <c r="AI7" s="32" t="n">
        <f aca="false">AF7+AH7</f>
        <v>0</v>
      </c>
      <c r="AJ7" s="11" t="n">
        <v>0</v>
      </c>
      <c r="AK7" s="31" t="n">
        <v>0.21</v>
      </c>
      <c r="AL7" s="12" t="n">
        <f aca="false">AJ7*AK7</f>
        <v>0</v>
      </c>
      <c r="AM7" s="32" t="n">
        <f aca="false">AJ7+AL7</f>
        <v>0</v>
      </c>
      <c r="AN7" s="11" t="n">
        <v>0</v>
      </c>
      <c r="AO7" s="31" t="n">
        <v>0.21</v>
      </c>
      <c r="AP7" s="12" t="n">
        <f aca="false">AN7*AO7</f>
        <v>0</v>
      </c>
      <c r="AQ7" s="32" t="n">
        <f aca="false">AN7+AP7</f>
        <v>0</v>
      </c>
      <c r="AR7" s="11" t="n">
        <v>0</v>
      </c>
      <c r="AS7" s="31" t="n">
        <v>0.21</v>
      </c>
      <c r="AT7" s="12" t="n">
        <f aca="false">AR7*AS7</f>
        <v>0</v>
      </c>
      <c r="AU7" s="32" t="n">
        <f aca="false">AR7+AT7</f>
        <v>0</v>
      </c>
      <c r="AV7" s="11" t="n">
        <v>0</v>
      </c>
      <c r="AW7" s="31" t="n">
        <v>0.21</v>
      </c>
      <c r="AX7" s="12" t="n">
        <f aca="false">AV7*AW7</f>
        <v>0</v>
      </c>
      <c r="AY7" s="32" t="n">
        <f aca="false">AV7+AX7</f>
        <v>0</v>
      </c>
      <c r="AZ7" s="12" t="n">
        <f aca="false">D7+H7+L7+P7+T7+X7+AB7+AF7+AJ7+AN7+AR7+AV7-C7</f>
        <v>0</v>
      </c>
    </row>
    <row r="8" customFormat="false" ht="15" hidden="false" customHeight="true" outlineLevel="0" collapsed="false">
      <c r="A8" s="63"/>
      <c r="B8" s="126" t="s">
        <v>155</v>
      </c>
      <c r="C8" s="11" t="n">
        <v>0</v>
      </c>
      <c r="D8" s="11" t="n">
        <v>0</v>
      </c>
      <c r="E8" s="31" t="n">
        <v>0.21</v>
      </c>
      <c r="F8" s="12" t="n">
        <f aca="false">D8*E8</f>
        <v>0</v>
      </c>
      <c r="G8" s="32" t="n">
        <f aca="false">D8+F8</f>
        <v>0</v>
      </c>
      <c r="H8" s="11" t="n">
        <v>0</v>
      </c>
      <c r="I8" s="31" t="n">
        <v>0.21</v>
      </c>
      <c r="J8" s="12" t="n">
        <f aca="false">H8*I8</f>
        <v>0</v>
      </c>
      <c r="K8" s="32" t="n">
        <f aca="false">H8+J8</f>
        <v>0</v>
      </c>
      <c r="L8" s="11" t="n">
        <v>0</v>
      </c>
      <c r="M8" s="31" t="n">
        <v>0.21</v>
      </c>
      <c r="N8" s="12" t="n">
        <f aca="false">L8*M8</f>
        <v>0</v>
      </c>
      <c r="O8" s="32" t="n">
        <f aca="false">L8+N8</f>
        <v>0</v>
      </c>
      <c r="P8" s="11" t="n">
        <v>0</v>
      </c>
      <c r="Q8" s="31" t="n">
        <v>0.21</v>
      </c>
      <c r="R8" s="12" t="n">
        <f aca="false">P8*Q8</f>
        <v>0</v>
      </c>
      <c r="S8" s="32" t="n">
        <f aca="false">P8+R8</f>
        <v>0</v>
      </c>
      <c r="T8" s="11" t="n">
        <v>0</v>
      </c>
      <c r="U8" s="31" t="n">
        <v>0.21</v>
      </c>
      <c r="V8" s="12" t="n">
        <f aca="false">T8*U8</f>
        <v>0</v>
      </c>
      <c r="W8" s="32" t="n">
        <f aca="false">T8+V8</f>
        <v>0</v>
      </c>
      <c r="X8" s="11" t="n">
        <v>0</v>
      </c>
      <c r="Y8" s="31" t="n">
        <v>0.21</v>
      </c>
      <c r="Z8" s="12" t="n">
        <f aca="false">X8*Y8</f>
        <v>0</v>
      </c>
      <c r="AA8" s="32" t="n">
        <f aca="false">X8+Z8</f>
        <v>0</v>
      </c>
      <c r="AB8" s="11" t="n">
        <v>0</v>
      </c>
      <c r="AC8" s="31" t="n">
        <v>0.21</v>
      </c>
      <c r="AD8" s="12" t="n">
        <f aca="false">AB8*AC8</f>
        <v>0</v>
      </c>
      <c r="AE8" s="32" t="n">
        <f aca="false">AB8+AD8</f>
        <v>0</v>
      </c>
      <c r="AF8" s="11" t="n">
        <v>0</v>
      </c>
      <c r="AG8" s="31" t="n">
        <v>0.21</v>
      </c>
      <c r="AH8" s="12" t="n">
        <f aca="false">AF8*AG8</f>
        <v>0</v>
      </c>
      <c r="AI8" s="32" t="n">
        <f aca="false">AF8+AH8</f>
        <v>0</v>
      </c>
      <c r="AJ8" s="11" t="n">
        <v>0</v>
      </c>
      <c r="AK8" s="31" t="n">
        <v>0.21</v>
      </c>
      <c r="AL8" s="12" t="n">
        <f aca="false">AJ8*AK8</f>
        <v>0</v>
      </c>
      <c r="AM8" s="32" t="n">
        <f aca="false">AJ8+AL8</f>
        <v>0</v>
      </c>
      <c r="AN8" s="11" t="n">
        <v>0</v>
      </c>
      <c r="AO8" s="31" t="n">
        <v>0.21</v>
      </c>
      <c r="AP8" s="12" t="n">
        <f aca="false">AN8*AO8</f>
        <v>0</v>
      </c>
      <c r="AQ8" s="32" t="n">
        <f aca="false">AN8+AP8</f>
        <v>0</v>
      </c>
      <c r="AR8" s="11" t="n">
        <v>0</v>
      </c>
      <c r="AS8" s="31" t="n">
        <v>0.21</v>
      </c>
      <c r="AT8" s="12" t="n">
        <f aca="false">AR8*AS8</f>
        <v>0</v>
      </c>
      <c r="AU8" s="32" t="n">
        <f aca="false">AR8+AT8</f>
        <v>0</v>
      </c>
      <c r="AV8" s="11" t="n">
        <v>0</v>
      </c>
      <c r="AW8" s="31" t="n">
        <v>0.21</v>
      </c>
      <c r="AX8" s="12" t="n">
        <f aca="false">AV8*AW8</f>
        <v>0</v>
      </c>
      <c r="AY8" s="32" t="n">
        <f aca="false">AV8+AX8</f>
        <v>0</v>
      </c>
      <c r="AZ8" s="12" t="n">
        <f aca="false">D8+H8+L8+P8+T8+X8+AB8+AF8+AJ8+AN8+AR8+AV8-C8</f>
        <v>0</v>
      </c>
    </row>
    <row r="9" customFormat="false" ht="15" hidden="false" customHeight="true" outlineLevel="0" collapsed="false">
      <c r="A9" s="63"/>
      <c r="B9" s="126" t="s">
        <v>156</v>
      </c>
      <c r="C9" s="11" t="n">
        <v>0</v>
      </c>
      <c r="D9" s="11" t="n">
        <v>0</v>
      </c>
      <c r="E9" s="31" t="n">
        <v>0.21</v>
      </c>
      <c r="F9" s="12" t="n">
        <f aca="false">D9*E9</f>
        <v>0</v>
      </c>
      <c r="G9" s="32" t="n">
        <f aca="false">D9+F9</f>
        <v>0</v>
      </c>
      <c r="H9" s="11" t="n">
        <v>0</v>
      </c>
      <c r="I9" s="31" t="n">
        <v>0.21</v>
      </c>
      <c r="J9" s="12" t="n">
        <f aca="false">H9*I9</f>
        <v>0</v>
      </c>
      <c r="K9" s="32" t="n">
        <f aca="false">H9+J9</f>
        <v>0</v>
      </c>
      <c r="L9" s="11" t="n">
        <v>0</v>
      </c>
      <c r="M9" s="31" t="n">
        <v>0.21</v>
      </c>
      <c r="N9" s="12" t="n">
        <f aca="false">L9*M9</f>
        <v>0</v>
      </c>
      <c r="O9" s="32" t="n">
        <f aca="false">L9+N9</f>
        <v>0</v>
      </c>
      <c r="P9" s="11" t="n">
        <v>0</v>
      </c>
      <c r="Q9" s="31" t="n">
        <v>0.21</v>
      </c>
      <c r="R9" s="12" t="n">
        <f aca="false">P9*Q9</f>
        <v>0</v>
      </c>
      <c r="S9" s="32" t="n">
        <f aca="false">P9+R9</f>
        <v>0</v>
      </c>
      <c r="T9" s="11" t="n">
        <v>0</v>
      </c>
      <c r="U9" s="31" t="n">
        <v>0.21</v>
      </c>
      <c r="V9" s="12" t="n">
        <f aca="false">T9*U9</f>
        <v>0</v>
      </c>
      <c r="W9" s="32" t="n">
        <f aca="false">T9+V9</f>
        <v>0</v>
      </c>
      <c r="X9" s="11" t="n">
        <v>0</v>
      </c>
      <c r="Y9" s="31" t="n">
        <v>0.21</v>
      </c>
      <c r="Z9" s="12" t="n">
        <f aca="false">X9*Y9</f>
        <v>0</v>
      </c>
      <c r="AA9" s="32" t="n">
        <f aca="false">X9+Z9</f>
        <v>0</v>
      </c>
      <c r="AB9" s="11" t="n">
        <v>0</v>
      </c>
      <c r="AC9" s="31" t="n">
        <v>0.21</v>
      </c>
      <c r="AD9" s="12" t="n">
        <f aca="false">AB9*AC9</f>
        <v>0</v>
      </c>
      <c r="AE9" s="32" t="n">
        <f aca="false">AB9+AD9</f>
        <v>0</v>
      </c>
      <c r="AF9" s="11" t="n">
        <v>0</v>
      </c>
      <c r="AG9" s="31" t="n">
        <v>0.21</v>
      </c>
      <c r="AH9" s="12" t="n">
        <f aca="false">AF9*AG9</f>
        <v>0</v>
      </c>
      <c r="AI9" s="32" t="n">
        <f aca="false">AF9+AH9</f>
        <v>0</v>
      </c>
      <c r="AJ9" s="11" t="n">
        <v>0</v>
      </c>
      <c r="AK9" s="31" t="n">
        <v>0.21</v>
      </c>
      <c r="AL9" s="12" t="n">
        <f aca="false">AJ9*AK9</f>
        <v>0</v>
      </c>
      <c r="AM9" s="32" t="n">
        <f aca="false">AJ9+AL9</f>
        <v>0</v>
      </c>
      <c r="AN9" s="11" t="n">
        <v>0</v>
      </c>
      <c r="AO9" s="31" t="n">
        <v>0.21</v>
      </c>
      <c r="AP9" s="12" t="n">
        <f aca="false">AN9*AO9</f>
        <v>0</v>
      </c>
      <c r="AQ9" s="32" t="n">
        <f aca="false">AN9+AP9</f>
        <v>0</v>
      </c>
      <c r="AR9" s="11" t="n">
        <v>0</v>
      </c>
      <c r="AS9" s="31" t="n">
        <v>0.21</v>
      </c>
      <c r="AT9" s="12" t="n">
        <f aca="false">AR9*AS9</f>
        <v>0</v>
      </c>
      <c r="AU9" s="32" t="n">
        <f aca="false">AR9+AT9</f>
        <v>0</v>
      </c>
      <c r="AV9" s="11" t="n">
        <v>0</v>
      </c>
      <c r="AW9" s="31" t="n">
        <v>0.21</v>
      </c>
      <c r="AX9" s="12" t="n">
        <f aca="false">AV9*AW9</f>
        <v>0</v>
      </c>
      <c r="AY9" s="32" t="n">
        <f aca="false">AV9+AX9</f>
        <v>0</v>
      </c>
      <c r="AZ9" s="12" t="n">
        <f aca="false">D9+H9+L9+P9+T9+X9+AB9+AF9+AJ9+AN9+AR9+AV9-C9</f>
        <v>0</v>
      </c>
    </row>
    <row r="10" customFormat="false" ht="15" hidden="false" customHeight="true" outlineLevel="0" collapsed="false">
      <c r="A10" s="63"/>
      <c r="B10" s="126" t="s">
        <v>157</v>
      </c>
      <c r="C10" s="11" t="n">
        <v>1800</v>
      </c>
      <c r="D10" s="11" t="n">
        <v>150</v>
      </c>
      <c r="E10" s="31" t="n">
        <v>0.21</v>
      </c>
      <c r="F10" s="12" t="n">
        <f aca="false">D10*E10</f>
        <v>31.5</v>
      </c>
      <c r="G10" s="32" t="n">
        <f aca="false">D10+F10</f>
        <v>181.5</v>
      </c>
      <c r="H10" s="11" t="n">
        <v>150</v>
      </c>
      <c r="I10" s="31" t="n">
        <v>0.21</v>
      </c>
      <c r="J10" s="12" t="n">
        <f aca="false">H10*I10</f>
        <v>31.5</v>
      </c>
      <c r="K10" s="32" t="n">
        <f aca="false">H10+J10</f>
        <v>181.5</v>
      </c>
      <c r="L10" s="11" t="n">
        <v>150</v>
      </c>
      <c r="M10" s="31" t="n">
        <v>0.21</v>
      </c>
      <c r="N10" s="12" t="n">
        <f aca="false">L10*M10</f>
        <v>31.5</v>
      </c>
      <c r="O10" s="32" t="n">
        <f aca="false">L10+N10</f>
        <v>181.5</v>
      </c>
      <c r="P10" s="11" t="n">
        <v>150</v>
      </c>
      <c r="Q10" s="31" t="n">
        <v>0.21</v>
      </c>
      <c r="R10" s="12" t="n">
        <f aca="false">P10*Q10</f>
        <v>31.5</v>
      </c>
      <c r="S10" s="32" t="n">
        <f aca="false">P10+R10</f>
        <v>181.5</v>
      </c>
      <c r="T10" s="11" t="n">
        <v>150</v>
      </c>
      <c r="U10" s="31" t="n">
        <v>0.21</v>
      </c>
      <c r="V10" s="12" t="n">
        <f aca="false">T10*U10</f>
        <v>31.5</v>
      </c>
      <c r="W10" s="32" t="n">
        <f aca="false">T10+V10</f>
        <v>181.5</v>
      </c>
      <c r="X10" s="11" t="n">
        <v>150</v>
      </c>
      <c r="Y10" s="31" t="n">
        <v>0.21</v>
      </c>
      <c r="Z10" s="12" t="n">
        <f aca="false">X10*Y10</f>
        <v>31.5</v>
      </c>
      <c r="AA10" s="32" t="n">
        <f aca="false">X10+Z10</f>
        <v>181.5</v>
      </c>
      <c r="AB10" s="11" t="n">
        <v>150</v>
      </c>
      <c r="AC10" s="31" t="n">
        <v>0.21</v>
      </c>
      <c r="AD10" s="12" t="n">
        <f aca="false">AB10*AC10</f>
        <v>31.5</v>
      </c>
      <c r="AE10" s="32" t="n">
        <f aca="false">AB10+AD10</f>
        <v>181.5</v>
      </c>
      <c r="AF10" s="11" t="n">
        <v>150</v>
      </c>
      <c r="AG10" s="31" t="n">
        <v>0.21</v>
      </c>
      <c r="AH10" s="12" t="n">
        <f aca="false">AF10*AG10</f>
        <v>31.5</v>
      </c>
      <c r="AI10" s="32" t="n">
        <f aca="false">AF10+AH10</f>
        <v>181.5</v>
      </c>
      <c r="AJ10" s="11" t="n">
        <v>150</v>
      </c>
      <c r="AK10" s="31" t="n">
        <v>0.21</v>
      </c>
      <c r="AL10" s="12" t="n">
        <f aca="false">AJ10*AK10</f>
        <v>31.5</v>
      </c>
      <c r="AM10" s="32" t="n">
        <f aca="false">AJ10+AL10</f>
        <v>181.5</v>
      </c>
      <c r="AN10" s="11" t="n">
        <v>150</v>
      </c>
      <c r="AO10" s="31" t="n">
        <v>0.21</v>
      </c>
      <c r="AP10" s="12" t="n">
        <f aca="false">AN10*AO10</f>
        <v>31.5</v>
      </c>
      <c r="AQ10" s="32" t="n">
        <f aca="false">AN10+AP10</f>
        <v>181.5</v>
      </c>
      <c r="AR10" s="11" t="n">
        <v>150</v>
      </c>
      <c r="AS10" s="31" t="n">
        <v>0.21</v>
      </c>
      <c r="AT10" s="12" t="n">
        <f aca="false">AR10*AS10</f>
        <v>31.5</v>
      </c>
      <c r="AU10" s="32" t="n">
        <f aca="false">AR10+AT10</f>
        <v>181.5</v>
      </c>
      <c r="AV10" s="11" t="n">
        <v>0</v>
      </c>
      <c r="AW10" s="31" t="n">
        <v>0.21</v>
      </c>
      <c r="AX10" s="12" t="n">
        <f aca="false">AV10*AW10</f>
        <v>0</v>
      </c>
      <c r="AY10" s="32" t="n">
        <f aca="false">AV10+AX10</f>
        <v>0</v>
      </c>
      <c r="AZ10" s="12" t="n">
        <f aca="false">D10+H10+L10+P10+T10+X10+AB10+AF10+AJ10+AN10+AR10+AV10-C10</f>
        <v>-150</v>
      </c>
    </row>
    <row r="11" customFormat="false" ht="15" hidden="false" customHeight="true" outlineLevel="0" collapsed="false">
      <c r="A11" s="63"/>
      <c r="B11" s="126" t="s">
        <v>158</v>
      </c>
      <c r="C11" s="11" t="n">
        <v>0</v>
      </c>
      <c r="D11" s="11" t="n">
        <v>0</v>
      </c>
      <c r="E11" s="31" t="n">
        <v>0.21</v>
      </c>
      <c r="F11" s="12" t="n">
        <f aca="false">D11*E11</f>
        <v>0</v>
      </c>
      <c r="G11" s="32" t="n">
        <f aca="false">D11+F11</f>
        <v>0</v>
      </c>
      <c r="H11" s="11" t="n">
        <v>0</v>
      </c>
      <c r="I11" s="31" t="n">
        <v>0.21</v>
      </c>
      <c r="J11" s="12" t="n">
        <f aca="false">H11*I11</f>
        <v>0</v>
      </c>
      <c r="K11" s="32" t="n">
        <f aca="false">H11+J11</f>
        <v>0</v>
      </c>
      <c r="L11" s="11" t="n">
        <v>0</v>
      </c>
      <c r="M11" s="31" t="n">
        <v>0.21</v>
      </c>
      <c r="N11" s="12" t="n">
        <f aca="false">L11*M11</f>
        <v>0</v>
      </c>
      <c r="O11" s="32" t="n">
        <f aca="false">L11+N11</f>
        <v>0</v>
      </c>
      <c r="P11" s="11" t="n">
        <v>0</v>
      </c>
      <c r="Q11" s="31" t="n">
        <v>0.21</v>
      </c>
      <c r="R11" s="12" t="n">
        <f aca="false">P11*Q11</f>
        <v>0</v>
      </c>
      <c r="S11" s="32" t="n">
        <f aca="false">P11+R11</f>
        <v>0</v>
      </c>
      <c r="T11" s="11" t="n">
        <v>0</v>
      </c>
      <c r="U11" s="31" t="n">
        <v>0.21</v>
      </c>
      <c r="V11" s="12" t="n">
        <f aca="false">T11*U11</f>
        <v>0</v>
      </c>
      <c r="W11" s="32" t="n">
        <f aca="false">T11+V11</f>
        <v>0</v>
      </c>
      <c r="X11" s="11" t="n">
        <v>0</v>
      </c>
      <c r="Y11" s="31" t="n">
        <v>0.21</v>
      </c>
      <c r="Z11" s="12" t="n">
        <f aca="false">X11*Y11</f>
        <v>0</v>
      </c>
      <c r="AA11" s="32" t="n">
        <f aca="false">X11+Z11</f>
        <v>0</v>
      </c>
      <c r="AB11" s="11" t="n">
        <v>0</v>
      </c>
      <c r="AC11" s="31" t="n">
        <v>0.21</v>
      </c>
      <c r="AD11" s="12" t="n">
        <f aca="false">AB11*AC11</f>
        <v>0</v>
      </c>
      <c r="AE11" s="32" t="n">
        <f aca="false">AB11+AD11</f>
        <v>0</v>
      </c>
      <c r="AF11" s="11" t="n">
        <v>0</v>
      </c>
      <c r="AG11" s="31" t="n">
        <v>0.21</v>
      </c>
      <c r="AH11" s="12" t="n">
        <f aca="false">AF11*AG11</f>
        <v>0</v>
      </c>
      <c r="AI11" s="32" t="n">
        <f aca="false">AF11+AH11</f>
        <v>0</v>
      </c>
      <c r="AJ11" s="11" t="n">
        <v>0</v>
      </c>
      <c r="AK11" s="31" t="n">
        <v>0.21</v>
      </c>
      <c r="AL11" s="12" t="n">
        <f aca="false">AJ11*AK11</f>
        <v>0</v>
      </c>
      <c r="AM11" s="32" t="n">
        <f aca="false">AJ11+AL11</f>
        <v>0</v>
      </c>
      <c r="AN11" s="11" t="n">
        <v>0</v>
      </c>
      <c r="AO11" s="31" t="n">
        <v>0.21</v>
      </c>
      <c r="AP11" s="12" t="n">
        <f aca="false">AN11*AO11</f>
        <v>0</v>
      </c>
      <c r="AQ11" s="32" t="n">
        <f aca="false">AN11+AP11</f>
        <v>0</v>
      </c>
      <c r="AR11" s="11" t="n">
        <v>0</v>
      </c>
      <c r="AS11" s="31" t="n">
        <v>0.21</v>
      </c>
      <c r="AT11" s="12" t="n">
        <f aca="false">AR11*AS11</f>
        <v>0</v>
      </c>
      <c r="AU11" s="32" t="n">
        <f aca="false">AR11+AT11</f>
        <v>0</v>
      </c>
      <c r="AV11" s="11" t="n">
        <v>0</v>
      </c>
      <c r="AW11" s="31" t="n">
        <v>0.21</v>
      </c>
      <c r="AX11" s="12" t="n">
        <f aca="false">AV11*AW11</f>
        <v>0</v>
      </c>
      <c r="AY11" s="32" t="n">
        <f aca="false">AV11+AX11</f>
        <v>0</v>
      </c>
      <c r="AZ11" s="12" t="n">
        <f aca="false">D11+H11+L11+P11+T11+X11+AB11+AF11+AJ11+AN11+AR11+AV11-C11</f>
        <v>0</v>
      </c>
    </row>
    <row r="12" customFormat="false" ht="15" hidden="false" customHeight="true" outlineLevel="0" collapsed="false">
      <c r="A12" s="63"/>
      <c r="B12" s="126" t="s">
        <v>159</v>
      </c>
      <c r="C12" s="11" t="n">
        <v>3600</v>
      </c>
      <c r="D12" s="11" t="n">
        <v>300</v>
      </c>
      <c r="E12" s="31" t="n">
        <v>0.21</v>
      </c>
      <c r="F12" s="12" t="n">
        <f aca="false">D12*E12</f>
        <v>63</v>
      </c>
      <c r="G12" s="32" t="n">
        <f aca="false">D12+F12</f>
        <v>363</v>
      </c>
      <c r="H12" s="11" t="n">
        <v>300</v>
      </c>
      <c r="I12" s="31" t="n">
        <v>0.21</v>
      </c>
      <c r="J12" s="12" t="n">
        <f aca="false">H12*I12</f>
        <v>63</v>
      </c>
      <c r="K12" s="32" t="n">
        <f aca="false">H12+J12</f>
        <v>363</v>
      </c>
      <c r="L12" s="11" t="n">
        <v>300</v>
      </c>
      <c r="M12" s="31" t="n">
        <v>0.21</v>
      </c>
      <c r="N12" s="12" t="n">
        <f aca="false">L12*M12</f>
        <v>63</v>
      </c>
      <c r="O12" s="32" t="n">
        <f aca="false">L12+N12</f>
        <v>363</v>
      </c>
      <c r="P12" s="11" t="n">
        <v>300</v>
      </c>
      <c r="Q12" s="31" t="n">
        <v>0.21</v>
      </c>
      <c r="R12" s="12" t="n">
        <f aca="false">P12*Q12</f>
        <v>63</v>
      </c>
      <c r="S12" s="32" t="n">
        <f aca="false">P12+R12</f>
        <v>363</v>
      </c>
      <c r="T12" s="11" t="n">
        <v>300</v>
      </c>
      <c r="U12" s="31" t="n">
        <v>0.21</v>
      </c>
      <c r="V12" s="12" t="n">
        <f aca="false">T12*U12</f>
        <v>63</v>
      </c>
      <c r="W12" s="32" t="n">
        <f aca="false">T12+V12</f>
        <v>363</v>
      </c>
      <c r="X12" s="11" t="n">
        <v>300</v>
      </c>
      <c r="Y12" s="31" t="n">
        <v>0.21</v>
      </c>
      <c r="Z12" s="12" t="n">
        <f aca="false">X12*Y12</f>
        <v>63</v>
      </c>
      <c r="AA12" s="32" t="n">
        <f aca="false">X12+Z12</f>
        <v>363</v>
      </c>
      <c r="AB12" s="11" t="n">
        <v>300</v>
      </c>
      <c r="AC12" s="31" t="n">
        <v>0.21</v>
      </c>
      <c r="AD12" s="12" t="n">
        <f aca="false">AB12*AC12</f>
        <v>63</v>
      </c>
      <c r="AE12" s="32" t="n">
        <f aca="false">AB12+AD12</f>
        <v>363</v>
      </c>
      <c r="AF12" s="11" t="n">
        <v>300</v>
      </c>
      <c r="AG12" s="31" t="n">
        <v>0.21</v>
      </c>
      <c r="AH12" s="12" t="n">
        <f aca="false">AF12*AG12</f>
        <v>63</v>
      </c>
      <c r="AI12" s="32" t="n">
        <f aca="false">AF12+AH12</f>
        <v>363</v>
      </c>
      <c r="AJ12" s="11" t="n">
        <v>300</v>
      </c>
      <c r="AK12" s="31" t="n">
        <v>0.21</v>
      </c>
      <c r="AL12" s="12" t="n">
        <f aca="false">AJ12*AK12</f>
        <v>63</v>
      </c>
      <c r="AM12" s="32" t="n">
        <f aca="false">AJ12+AL12</f>
        <v>363</v>
      </c>
      <c r="AN12" s="11" t="n">
        <v>300</v>
      </c>
      <c r="AO12" s="31" t="n">
        <v>0.21</v>
      </c>
      <c r="AP12" s="12" t="n">
        <f aca="false">AN12*AO12</f>
        <v>63</v>
      </c>
      <c r="AQ12" s="32" t="n">
        <f aca="false">AN12+AP12</f>
        <v>363</v>
      </c>
      <c r="AR12" s="11" t="n">
        <v>300</v>
      </c>
      <c r="AS12" s="31" t="n">
        <v>0.21</v>
      </c>
      <c r="AT12" s="12" t="n">
        <f aca="false">AR12*AS12</f>
        <v>63</v>
      </c>
      <c r="AU12" s="32" t="n">
        <f aca="false">AR12+AT12</f>
        <v>363</v>
      </c>
      <c r="AV12" s="11" t="n">
        <v>0</v>
      </c>
      <c r="AW12" s="31" t="n">
        <v>0.21</v>
      </c>
      <c r="AX12" s="12" t="n">
        <f aca="false">AV12*AW12</f>
        <v>0</v>
      </c>
      <c r="AY12" s="32" t="n">
        <f aca="false">AV12+AX12</f>
        <v>0</v>
      </c>
      <c r="AZ12" s="12" t="n">
        <f aca="false">D12+H12+L12+P12+T12+X12+AB12+AF12+AJ12+AN12+AR12+AV12-C12</f>
        <v>-300</v>
      </c>
    </row>
    <row r="13" customFormat="false" ht="15" hidden="false" customHeight="true" outlineLevel="0" collapsed="false">
      <c r="A13" s="63"/>
      <c r="B13" s="126" t="s">
        <v>160</v>
      </c>
      <c r="C13" s="11" t="n">
        <v>1200</v>
      </c>
      <c r="D13" s="11" t="n">
        <v>100</v>
      </c>
      <c r="E13" s="13" t="n">
        <v>0</v>
      </c>
      <c r="F13" s="127"/>
      <c r="G13" s="32" t="n">
        <f aca="false">D13</f>
        <v>100</v>
      </c>
      <c r="H13" s="11" t="n">
        <v>100</v>
      </c>
      <c r="I13" s="13" t="n">
        <v>0</v>
      </c>
      <c r="J13" s="128"/>
      <c r="K13" s="32" t="n">
        <f aca="false">H13</f>
        <v>100</v>
      </c>
      <c r="L13" s="11" t="n">
        <v>100</v>
      </c>
      <c r="M13" s="13" t="n">
        <v>0</v>
      </c>
      <c r="N13" s="128"/>
      <c r="O13" s="32" t="n">
        <f aca="false">L13</f>
        <v>100</v>
      </c>
      <c r="P13" s="11" t="n">
        <v>100</v>
      </c>
      <c r="Q13" s="13" t="n">
        <v>0</v>
      </c>
      <c r="R13" s="128"/>
      <c r="S13" s="32" t="n">
        <f aca="false">P13</f>
        <v>100</v>
      </c>
      <c r="T13" s="11" t="n">
        <v>100</v>
      </c>
      <c r="U13" s="13" t="n">
        <v>0</v>
      </c>
      <c r="V13" s="128"/>
      <c r="W13" s="32" t="n">
        <f aca="false">T13</f>
        <v>100</v>
      </c>
      <c r="X13" s="11" t="n">
        <v>100</v>
      </c>
      <c r="Y13" s="13" t="n">
        <v>0</v>
      </c>
      <c r="Z13" s="128"/>
      <c r="AA13" s="32" t="n">
        <f aca="false">X13</f>
        <v>100</v>
      </c>
      <c r="AB13" s="11" t="n">
        <v>100</v>
      </c>
      <c r="AC13" s="13" t="n">
        <v>0</v>
      </c>
      <c r="AD13" s="128"/>
      <c r="AE13" s="32" t="n">
        <f aca="false">AB13</f>
        <v>100</v>
      </c>
      <c r="AF13" s="11" t="n">
        <v>100</v>
      </c>
      <c r="AG13" s="13" t="n">
        <v>0</v>
      </c>
      <c r="AH13" s="128"/>
      <c r="AI13" s="32" t="n">
        <f aca="false">AF13</f>
        <v>100</v>
      </c>
      <c r="AJ13" s="11" t="n">
        <v>100</v>
      </c>
      <c r="AK13" s="13" t="n">
        <v>0</v>
      </c>
      <c r="AL13" s="128"/>
      <c r="AM13" s="32" t="n">
        <f aca="false">AJ13</f>
        <v>100</v>
      </c>
      <c r="AN13" s="11" t="n">
        <v>100</v>
      </c>
      <c r="AO13" s="13" t="n">
        <v>0</v>
      </c>
      <c r="AP13" s="128"/>
      <c r="AQ13" s="32" t="n">
        <f aca="false">AN13</f>
        <v>100</v>
      </c>
      <c r="AR13" s="11" t="n">
        <v>100</v>
      </c>
      <c r="AS13" s="13" t="n">
        <v>0</v>
      </c>
      <c r="AT13" s="128"/>
      <c r="AU13" s="32" t="n">
        <f aca="false">AR13</f>
        <v>100</v>
      </c>
      <c r="AV13" s="11" t="n">
        <v>0</v>
      </c>
      <c r="AW13" s="13" t="n">
        <v>0</v>
      </c>
      <c r="AX13" s="128"/>
      <c r="AY13" s="32" t="n">
        <f aca="false">AV13</f>
        <v>0</v>
      </c>
      <c r="AZ13" s="12" t="n">
        <f aca="false">D13+H13+L13+P13+T13+X13+AB13+AF13+AJ13+AN13+AR13+AV13-C13</f>
        <v>-100</v>
      </c>
    </row>
    <row r="14" customFormat="false" ht="15" hidden="false" customHeight="true" outlineLevel="0" collapsed="false">
      <c r="A14" s="63"/>
      <c r="B14" s="126" t="s">
        <v>161</v>
      </c>
      <c r="C14" s="11" t="n">
        <v>2400</v>
      </c>
      <c r="D14" s="11" t="n">
        <v>200</v>
      </c>
      <c r="E14" s="31" t="n">
        <v>0.21</v>
      </c>
      <c r="F14" s="12" t="n">
        <f aca="false">D14*E14</f>
        <v>42</v>
      </c>
      <c r="G14" s="32" t="n">
        <f aca="false">D14+F14</f>
        <v>242</v>
      </c>
      <c r="H14" s="11" t="n">
        <v>200</v>
      </c>
      <c r="I14" s="31" t="n">
        <v>0.21</v>
      </c>
      <c r="J14" s="12" t="n">
        <f aca="false">H14*I14</f>
        <v>42</v>
      </c>
      <c r="K14" s="32" t="n">
        <f aca="false">H14+J14</f>
        <v>242</v>
      </c>
      <c r="L14" s="11" t="n">
        <v>200</v>
      </c>
      <c r="M14" s="31" t="n">
        <v>0.21</v>
      </c>
      <c r="N14" s="12" t="n">
        <f aca="false">L14*M14</f>
        <v>42</v>
      </c>
      <c r="O14" s="32" t="n">
        <f aca="false">L14+N14</f>
        <v>242</v>
      </c>
      <c r="P14" s="11" t="n">
        <v>200</v>
      </c>
      <c r="Q14" s="31" t="n">
        <v>0.21</v>
      </c>
      <c r="R14" s="12" t="n">
        <f aca="false">P14*Q14</f>
        <v>42</v>
      </c>
      <c r="S14" s="32" t="n">
        <f aca="false">P14+R14</f>
        <v>242</v>
      </c>
      <c r="T14" s="11" t="n">
        <v>200</v>
      </c>
      <c r="U14" s="31" t="n">
        <v>0.21</v>
      </c>
      <c r="V14" s="12" t="n">
        <f aca="false">T14*U14</f>
        <v>42</v>
      </c>
      <c r="W14" s="32" t="n">
        <f aca="false">T14+V14</f>
        <v>242</v>
      </c>
      <c r="X14" s="11" t="n">
        <v>200</v>
      </c>
      <c r="Y14" s="31" t="n">
        <v>0.21</v>
      </c>
      <c r="Z14" s="12" t="n">
        <f aca="false">X14*Y14</f>
        <v>42</v>
      </c>
      <c r="AA14" s="32" t="n">
        <f aca="false">X14+Z14</f>
        <v>242</v>
      </c>
      <c r="AB14" s="11" t="n">
        <v>200</v>
      </c>
      <c r="AC14" s="31" t="n">
        <v>0.21</v>
      </c>
      <c r="AD14" s="12" t="n">
        <f aca="false">AB14*AC14</f>
        <v>42</v>
      </c>
      <c r="AE14" s="32" t="n">
        <f aca="false">AB14+AD14</f>
        <v>242</v>
      </c>
      <c r="AF14" s="11" t="n">
        <v>200</v>
      </c>
      <c r="AG14" s="31" t="n">
        <v>0.21</v>
      </c>
      <c r="AH14" s="12" t="n">
        <f aca="false">AF14*AG14</f>
        <v>42</v>
      </c>
      <c r="AI14" s="32" t="n">
        <f aca="false">AF14+AH14</f>
        <v>242</v>
      </c>
      <c r="AJ14" s="11" t="n">
        <v>200</v>
      </c>
      <c r="AK14" s="31" t="n">
        <v>0.21</v>
      </c>
      <c r="AL14" s="12" t="n">
        <f aca="false">AJ14*AK14</f>
        <v>42</v>
      </c>
      <c r="AM14" s="32" t="n">
        <f aca="false">AJ14+AL14</f>
        <v>242</v>
      </c>
      <c r="AN14" s="11" t="n">
        <v>200</v>
      </c>
      <c r="AO14" s="31" t="n">
        <v>0.21</v>
      </c>
      <c r="AP14" s="12" t="n">
        <f aca="false">AN14*AO14</f>
        <v>42</v>
      </c>
      <c r="AQ14" s="32" t="n">
        <f aca="false">AN14+AP14</f>
        <v>242</v>
      </c>
      <c r="AR14" s="11" t="n">
        <v>200</v>
      </c>
      <c r="AS14" s="31" t="n">
        <v>0.21</v>
      </c>
      <c r="AT14" s="12" t="n">
        <f aca="false">AR14*AS14</f>
        <v>42</v>
      </c>
      <c r="AU14" s="32" t="n">
        <f aca="false">AR14+AT14</f>
        <v>242</v>
      </c>
      <c r="AV14" s="11" t="n">
        <v>0</v>
      </c>
      <c r="AW14" s="31" t="n">
        <v>0.21</v>
      </c>
      <c r="AX14" s="12" t="n">
        <f aca="false">AV14*AW14</f>
        <v>0</v>
      </c>
      <c r="AY14" s="32" t="n">
        <f aca="false">AV14+AX14</f>
        <v>0</v>
      </c>
      <c r="AZ14" s="12" t="n">
        <f aca="false">D14+H14+L14+P14+T14+X14+AB14+AF14+AJ14+AN14+AR14+AV14-C14</f>
        <v>-200</v>
      </c>
    </row>
    <row r="15" customFormat="false" ht="15" hidden="false" customHeight="true" outlineLevel="0" collapsed="false">
      <c r="A15" s="63"/>
      <c r="B15" s="126" t="s">
        <v>162</v>
      </c>
      <c r="C15" s="11" t="n">
        <v>4000</v>
      </c>
      <c r="D15" s="11" t="n">
        <v>333.333333333333</v>
      </c>
      <c r="E15" s="31" t="n">
        <v>0.21</v>
      </c>
      <c r="F15" s="12" t="n">
        <f aca="false">D15*E15</f>
        <v>69.9999999999999</v>
      </c>
      <c r="G15" s="32" t="n">
        <f aca="false">D15+F15</f>
        <v>403.333333333333</v>
      </c>
      <c r="H15" s="11" t="n">
        <v>333.333333333333</v>
      </c>
      <c r="I15" s="31" t="n">
        <v>0.21</v>
      </c>
      <c r="J15" s="12" t="n">
        <f aca="false">H15*I15</f>
        <v>69.9999999999999</v>
      </c>
      <c r="K15" s="32" t="n">
        <f aca="false">H15+J15</f>
        <v>403.333333333333</v>
      </c>
      <c r="L15" s="11" t="n">
        <v>333.333333333333</v>
      </c>
      <c r="M15" s="31" t="n">
        <v>0.21</v>
      </c>
      <c r="N15" s="12" t="n">
        <f aca="false">L15*M15</f>
        <v>69.9999999999999</v>
      </c>
      <c r="O15" s="32" t="n">
        <f aca="false">L15+N15</f>
        <v>403.333333333333</v>
      </c>
      <c r="P15" s="11" t="n">
        <v>333.333333333333</v>
      </c>
      <c r="Q15" s="31" t="n">
        <v>0.21</v>
      </c>
      <c r="R15" s="12" t="n">
        <f aca="false">P15*Q15</f>
        <v>69.9999999999999</v>
      </c>
      <c r="S15" s="32" t="n">
        <f aca="false">P15+R15</f>
        <v>403.333333333333</v>
      </c>
      <c r="T15" s="11" t="n">
        <v>333.333333333333</v>
      </c>
      <c r="U15" s="31" t="n">
        <v>0.21</v>
      </c>
      <c r="V15" s="12" t="n">
        <f aca="false">T15*U15</f>
        <v>69.9999999999999</v>
      </c>
      <c r="W15" s="32" t="n">
        <f aca="false">T15+V15</f>
        <v>403.333333333333</v>
      </c>
      <c r="X15" s="11" t="n">
        <v>333.333333333333</v>
      </c>
      <c r="Y15" s="31" t="n">
        <v>0.21</v>
      </c>
      <c r="Z15" s="12" t="n">
        <f aca="false">X15*Y15</f>
        <v>69.9999999999999</v>
      </c>
      <c r="AA15" s="32" t="n">
        <f aca="false">X15+Z15</f>
        <v>403.333333333333</v>
      </c>
      <c r="AB15" s="11" t="n">
        <v>333.333333333333</v>
      </c>
      <c r="AC15" s="31" t="n">
        <v>0.21</v>
      </c>
      <c r="AD15" s="12" t="n">
        <f aca="false">AB15*AC15</f>
        <v>69.9999999999999</v>
      </c>
      <c r="AE15" s="32" t="n">
        <f aca="false">AB15+AD15</f>
        <v>403.333333333333</v>
      </c>
      <c r="AF15" s="11" t="n">
        <v>333.333333333333</v>
      </c>
      <c r="AG15" s="31" t="n">
        <v>0.21</v>
      </c>
      <c r="AH15" s="12" t="n">
        <f aca="false">AF15*AG15</f>
        <v>69.9999999999999</v>
      </c>
      <c r="AI15" s="32" t="n">
        <f aca="false">AF15+AH15</f>
        <v>403.333333333333</v>
      </c>
      <c r="AJ15" s="11" t="n">
        <v>333.333333333333</v>
      </c>
      <c r="AK15" s="31" t="n">
        <v>0.21</v>
      </c>
      <c r="AL15" s="12" t="n">
        <f aca="false">AJ15*AK15</f>
        <v>69.9999999999999</v>
      </c>
      <c r="AM15" s="32" t="n">
        <f aca="false">AJ15+AL15</f>
        <v>403.333333333333</v>
      </c>
      <c r="AN15" s="11" t="n">
        <v>333.333333333333</v>
      </c>
      <c r="AO15" s="31" t="n">
        <v>0.21</v>
      </c>
      <c r="AP15" s="12" t="n">
        <f aca="false">AN15*AO15</f>
        <v>69.9999999999999</v>
      </c>
      <c r="AQ15" s="32" t="n">
        <f aca="false">AN15+AP15</f>
        <v>403.333333333333</v>
      </c>
      <c r="AR15" s="11" t="n">
        <v>333.333333333333</v>
      </c>
      <c r="AS15" s="31" t="n">
        <v>0.21</v>
      </c>
      <c r="AT15" s="12" t="n">
        <f aca="false">AR15*AS15</f>
        <v>69.9999999999999</v>
      </c>
      <c r="AU15" s="32" t="n">
        <f aca="false">AR15+AT15</f>
        <v>403.333333333333</v>
      </c>
      <c r="AV15" s="11" t="n">
        <v>0</v>
      </c>
      <c r="AW15" s="31" t="n">
        <v>0.21</v>
      </c>
      <c r="AX15" s="12" t="n">
        <f aca="false">AV15*AW15</f>
        <v>0</v>
      </c>
      <c r="AY15" s="32" t="n">
        <f aca="false">AV15+AX15</f>
        <v>0</v>
      </c>
      <c r="AZ15" s="12" t="n">
        <f aca="false">D15+H15+L15+P15+T15+X15+AB15+AF15+AJ15+AN15+AR15+AV15-C15</f>
        <v>-333.333333333337</v>
      </c>
    </row>
    <row r="16" customFormat="false" ht="15" hidden="false" customHeight="true" outlineLevel="0" collapsed="false">
      <c r="A16" s="63"/>
      <c r="B16" s="126" t="s">
        <v>163</v>
      </c>
      <c r="C16" s="11" t="n">
        <v>0</v>
      </c>
      <c r="D16" s="11" t="n">
        <v>0</v>
      </c>
      <c r="E16" s="129" t="n">
        <v>0</v>
      </c>
      <c r="F16" s="127"/>
      <c r="G16" s="32" t="n">
        <f aca="false">D16</f>
        <v>0</v>
      </c>
      <c r="H16" s="11" t="n">
        <v>0</v>
      </c>
      <c r="I16" s="129" t="n">
        <v>0</v>
      </c>
      <c r="J16" s="128"/>
      <c r="K16" s="32" t="n">
        <f aca="false">H16</f>
        <v>0</v>
      </c>
      <c r="L16" s="11" t="n">
        <v>0</v>
      </c>
      <c r="M16" s="129" t="n">
        <v>0</v>
      </c>
      <c r="N16" s="128"/>
      <c r="O16" s="32" t="n">
        <f aca="false">L16</f>
        <v>0</v>
      </c>
      <c r="P16" s="11" t="n">
        <v>0</v>
      </c>
      <c r="Q16" s="129" t="n">
        <v>0</v>
      </c>
      <c r="R16" s="128"/>
      <c r="S16" s="32" t="n">
        <f aca="false">P16</f>
        <v>0</v>
      </c>
      <c r="T16" s="11" t="n">
        <v>0</v>
      </c>
      <c r="U16" s="129" t="n">
        <v>0</v>
      </c>
      <c r="V16" s="128"/>
      <c r="W16" s="32" t="n">
        <f aca="false">T16</f>
        <v>0</v>
      </c>
      <c r="X16" s="11" t="n">
        <v>0</v>
      </c>
      <c r="Y16" s="129" t="n">
        <v>0</v>
      </c>
      <c r="Z16" s="128"/>
      <c r="AA16" s="32" t="n">
        <f aca="false">X16</f>
        <v>0</v>
      </c>
      <c r="AB16" s="11" t="n">
        <v>0</v>
      </c>
      <c r="AC16" s="129" t="n">
        <v>0</v>
      </c>
      <c r="AD16" s="128"/>
      <c r="AE16" s="32" t="n">
        <f aca="false">AB16</f>
        <v>0</v>
      </c>
      <c r="AF16" s="11" t="n">
        <v>0</v>
      </c>
      <c r="AG16" s="129" t="n">
        <v>0</v>
      </c>
      <c r="AH16" s="128"/>
      <c r="AI16" s="32" t="n">
        <f aca="false">AF16</f>
        <v>0</v>
      </c>
      <c r="AJ16" s="11" t="n">
        <v>0</v>
      </c>
      <c r="AK16" s="129" t="n">
        <v>0</v>
      </c>
      <c r="AL16" s="128"/>
      <c r="AM16" s="32" t="n">
        <f aca="false">AJ16</f>
        <v>0</v>
      </c>
      <c r="AN16" s="11" t="n">
        <v>0</v>
      </c>
      <c r="AO16" s="129" t="n">
        <v>0</v>
      </c>
      <c r="AP16" s="128"/>
      <c r="AQ16" s="32" t="n">
        <f aca="false">AN16</f>
        <v>0</v>
      </c>
      <c r="AR16" s="11" t="n">
        <v>0</v>
      </c>
      <c r="AS16" s="129" t="n">
        <v>0</v>
      </c>
      <c r="AT16" s="128"/>
      <c r="AU16" s="32" t="n">
        <f aca="false">AR16</f>
        <v>0</v>
      </c>
      <c r="AV16" s="11" t="n">
        <v>0</v>
      </c>
      <c r="AW16" s="129" t="n">
        <v>0</v>
      </c>
      <c r="AX16" s="128"/>
      <c r="AY16" s="32" t="n">
        <f aca="false">AV16</f>
        <v>0</v>
      </c>
      <c r="AZ16" s="12" t="n">
        <f aca="false">D16+H16+L16+P16+T16+X16+AB16+AF16+AJ16+AN16+AR16+AV16-C16</f>
        <v>0</v>
      </c>
    </row>
    <row r="17" customFormat="false" ht="15" hidden="false" customHeight="true" outlineLevel="0" collapsed="false">
      <c r="A17" s="63"/>
      <c r="B17" s="126" t="s">
        <v>164</v>
      </c>
      <c r="C17" s="11" t="n">
        <v>0</v>
      </c>
      <c r="D17" s="11" t="n">
        <v>0</v>
      </c>
      <c r="E17" s="129" t="n">
        <v>0</v>
      </c>
      <c r="F17" s="127"/>
      <c r="G17" s="32" t="n">
        <f aca="false">D17</f>
        <v>0</v>
      </c>
      <c r="H17" s="11" t="n">
        <v>0</v>
      </c>
      <c r="I17" s="129" t="n">
        <v>0</v>
      </c>
      <c r="J17" s="128"/>
      <c r="K17" s="32" t="n">
        <f aca="false">H17</f>
        <v>0</v>
      </c>
      <c r="L17" s="11" t="n">
        <v>0</v>
      </c>
      <c r="M17" s="129" t="n">
        <v>0</v>
      </c>
      <c r="N17" s="128"/>
      <c r="O17" s="32" t="n">
        <f aca="false">L17</f>
        <v>0</v>
      </c>
      <c r="P17" s="11" t="n">
        <v>0</v>
      </c>
      <c r="Q17" s="129" t="n">
        <v>0</v>
      </c>
      <c r="R17" s="128"/>
      <c r="S17" s="32" t="n">
        <f aca="false">P17</f>
        <v>0</v>
      </c>
      <c r="T17" s="11" t="n">
        <v>0</v>
      </c>
      <c r="U17" s="129" t="n">
        <v>0</v>
      </c>
      <c r="V17" s="128"/>
      <c r="W17" s="32" t="n">
        <f aca="false">T17</f>
        <v>0</v>
      </c>
      <c r="X17" s="11" t="n">
        <v>0</v>
      </c>
      <c r="Y17" s="129" t="n">
        <v>0</v>
      </c>
      <c r="Z17" s="128"/>
      <c r="AA17" s="32" t="n">
        <f aca="false">X17</f>
        <v>0</v>
      </c>
      <c r="AB17" s="11" t="n">
        <v>0</v>
      </c>
      <c r="AC17" s="129" t="n">
        <v>0</v>
      </c>
      <c r="AD17" s="128"/>
      <c r="AE17" s="32" t="n">
        <f aca="false">AB17</f>
        <v>0</v>
      </c>
      <c r="AF17" s="11" t="n">
        <v>0</v>
      </c>
      <c r="AG17" s="129" t="n">
        <v>0</v>
      </c>
      <c r="AH17" s="128"/>
      <c r="AI17" s="32" t="n">
        <f aca="false">AF17</f>
        <v>0</v>
      </c>
      <c r="AJ17" s="11" t="n">
        <v>0</v>
      </c>
      <c r="AK17" s="129" t="n">
        <v>0</v>
      </c>
      <c r="AL17" s="128"/>
      <c r="AM17" s="32" t="n">
        <f aca="false">AJ17</f>
        <v>0</v>
      </c>
      <c r="AN17" s="11" t="n">
        <v>0</v>
      </c>
      <c r="AO17" s="129" t="n">
        <v>0</v>
      </c>
      <c r="AP17" s="128"/>
      <c r="AQ17" s="32" t="n">
        <f aca="false">AN17</f>
        <v>0</v>
      </c>
      <c r="AR17" s="11" t="n">
        <v>0</v>
      </c>
      <c r="AS17" s="129" t="n">
        <v>0</v>
      </c>
      <c r="AT17" s="128"/>
      <c r="AU17" s="32" t="n">
        <f aca="false">AR17</f>
        <v>0</v>
      </c>
      <c r="AV17" s="11" t="n">
        <v>0</v>
      </c>
      <c r="AW17" s="129" t="n">
        <v>0</v>
      </c>
      <c r="AX17" s="128"/>
      <c r="AY17" s="32" t="n">
        <f aca="false">AV17</f>
        <v>0</v>
      </c>
      <c r="AZ17" s="12" t="n">
        <f aca="false">D17+H17+L17+P17+T17+X17+AB17+AF17+AJ17+AN17+AR17+AV17-C17</f>
        <v>0</v>
      </c>
    </row>
    <row r="18" customFormat="false" ht="15" hidden="false" customHeight="true" outlineLevel="0" collapsed="false">
      <c r="A18" s="63"/>
      <c r="B18" s="54" t="s">
        <v>165</v>
      </c>
      <c r="C18" s="11" t="n">
        <v>0</v>
      </c>
      <c r="D18" s="11" t="n">
        <v>0</v>
      </c>
      <c r="E18" s="31" t="n">
        <v>0.21</v>
      </c>
      <c r="F18" s="12" t="n">
        <f aca="false">D18*E18</f>
        <v>0</v>
      </c>
      <c r="G18" s="32" t="n">
        <f aca="false">D18+F18</f>
        <v>0</v>
      </c>
      <c r="H18" s="11" t="n">
        <v>0</v>
      </c>
      <c r="I18" s="31" t="n">
        <v>0.21</v>
      </c>
      <c r="J18" s="12" t="n">
        <f aca="false">H18*I18</f>
        <v>0</v>
      </c>
      <c r="K18" s="32" t="n">
        <f aca="false">H18+J18</f>
        <v>0</v>
      </c>
      <c r="L18" s="11" t="n">
        <v>0</v>
      </c>
      <c r="M18" s="31" t="n">
        <v>0.21</v>
      </c>
      <c r="N18" s="12" t="n">
        <f aca="false">L18*M18</f>
        <v>0</v>
      </c>
      <c r="O18" s="32" t="n">
        <f aca="false">L18+N18</f>
        <v>0</v>
      </c>
      <c r="P18" s="11" t="n">
        <v>0</v>
      </c>
      <c r="Q18" s="31" t="n">
        <v>0.21</v>
      </c>
      <c r="R18" s="12" t="n">
        <f aca="false">P18*Q18</f>
        <v>0</v>
      </c>
      <c r="S18" s="32" t="n">
        <f aca="false">P18+R18</f>
        <v>0</v>
      </c>
      <c r="T18" s="11" t="n">
        <v>0</v>
      </c>
      <c r="U18" s="31" t="n">
        <v>0.21</v>
      </c>
      <c r="V18" s="12" t="n">
        <f aca="false">T18*U18</f>
        <v>0</v>
      </c>
      <c r="W18" s="32" t="n">
        <f aca="false">T18+V18</f>
        <v>0</v>
      </c>
      <c r="X18" s="11" t="n">
        <v>0</v>
      </c>
      <c r="Y18" s="31" t="n">
        <v>0.21</v>
      </c>
      <c r="Z18" s="12" t="n">
        <f aca="false">X18*Y18</f>
        <v>0</v>
      </c>
      <c r="AA18" s="32" t="n">
        <f aca="false">X18+Z18</f>
        <v>0</v>
      </c>
      <c r="AB18" s="11" t="n">
        <v>0</v>
      </c>
      <c r="AC18" s="31" t="n">
        <v>0.21</v>
      </c>
      <c r="AD18" s="12" t="n">
        <f aca="false">AB18*AC18</f>
        <v>0</v>
      </c>
      <c r="AE18" s="32" t="n">
        <f aca="false">AB18+AD18</f>
        <v>0</v>
      </c>
      <c r="AF18" s="11" t="n">
        <v>0</v>
      </c>
      <c r="AG18" s="31" t="n">
        <v>0.21</v>
      </c>
      <c r="AH18" s="12" t="n">
        <f aca="false">AF18*AG18</f>
        <v>0</v>
      </c>
      <c r="AI18" s="32" t="n">
        <f aca="false">AF18+AH18</f>
        <v>0</v>
      </c>
      <c r="AJ18" s="11" t="n">
        <v>0</v>
      </c>
      <c r="AK18" s="31" t="n">
        <v>0.21</v>
      </c>
      <c r="AL18" s="12" t="n">
        <f aca="false">AJ18*AK18</f>
        <v>0</v>
      </c>
      <c r="AM18" s="32" t="n">
        <f aca="false">AJ18+AL18</f>
        <v>0</v>
      </c>
      <c r="AN18" s="11" t="n">
        <v>0</v>
      </c>
      <c r="AO18" s="31" t="n">
        <v>0.21</v>
      </c>
      <c r="AP18" s="12" t="n">
        <f aca="false">AN18*AO18</f>
        <v>0</v>
      </c>
      <c r="AQ18" s="32" t="n">
        <f aca="false">AN18+AP18</f>
        <v>0</v>
      </c>
      <c r="AR18" s="11" t="n">
        <v>0</v>
      </c>
      <c r="AS18" s="31" t="n">
        <v>0.21</v>
      </c>
      <c r="AT18" s="12" t="n">
        <f aca="false">AR18*AS18</f>
        <v>0</v>
      </c>
      <c r="AU18" s="32" t="n">
        <f aca="false">AR18+AT18</f>
        <v>0</v>
      </c>
      <c r="AV18" s="11" t="n">
        <v>0</v>
      </c>
      <c r="AW18" s="31" t="n">
        <v>0.21</v>
      </c>
      <c r="AX18" s="12" t="n">
        <f aca="false">AV18*AW18</f>
        <v>0</v>
      </c>
      <c r="AY18" s="32" t="n">
        <f aca="false">AV18+AX18</f>
        <v>0</v>
      </c>
      <c r="AZ18" s="12" t="n">
        <f aca="false">D18+H18+L18+P18+T18+X18+AB18+AF18+AJ18+AN18+AR18+AV18-C18</f>
        <v>0</v>
      </c>
    </row>
    <row r="19" customFormat="false" ht="15" hidden="false" customHeight="true" outlineLevel="0" collapsed="false">
      <c r="A19" s="63"/>
      <c r="B19" s="54" t="s">
        <v>165</v>
      </c>
      <c r="C19" s="11" t="n">
        <v>0</v>
      </c>
      <c r="D19" s="11" t="n">
        <v>0</v>
      </c>
      <c r="E19" s="31" t="n">
        <v>0.21</v>
      </c>
      <c r="F19" s="12" t="n">
        <f aca="false">D19*E19</f>
        <v>0</v>
      </c>
      <c r="G19" s="32" t="n">
        <f aca="false">D19+F19</f>
        <v>0</v>
      </c>
      <c r="H19" s="11" t="n">
        <v>0</v>
      </c>
      <c r="I19" s="31" t="n">
        <v>0.21</v>
      </c>
      <c r="J19" s="12" t="n">
        <f aca="false">H19*I19</f>
        <v>0</v>
      </c>
      <c r="K19" s="32" t="n">
        <f aca="false">H19+J19</f>
        <v>0</v>
      </c>
      <c r="L19" s="11" t="n">
        <v>0</v>
      </c>
      <c r="M19" s="31" t="n">
        <v>0.21</v>
      </c>
      <c r="N19" s="12" t="n">
        <f aca="false">L19*M19</f>
        <v>0</v>
      </c>
      <c r="O19" s="32" t="n">
        <f aca="false">L19+N19</f>
        <v>0</v>
      </c>
      <c r="P19" s="11" t="n">
        <v>0</v>
      </c>
      <c r="Q19" s="31" t="n">
        <v>0.21</v>
      </c>
      <c r="R19" s="12" t="n">
        <f aca="false">P19*Q19</f>
        <v>0</v>
      </c>
      <c r="S19" s="32" t="n">
        <f aca="false">P19+R19</f>
        <v>0</v>
      </c>
      <c r="T19" s="11" t="n">
        <v>0</v>
      </c>
      <c r="U19" s="31" t="n">
        <v>0.21</v>
      </c>
      <c r="V19" s="12" t="n">
        <f aca="false">T19*U19</f>
        <v>0</v>
      </c>
      <c r="W19" s="32" t="n">
        <f aca="false">T19+V19</f>
        <v>0</v>
      </c>
      <c r="X19" s="11" t="n">
        <v>0</v>
      </c>
      <c r="Y19" s="31" t="n">
        <v>0.21</v>
      </c>
      <c r="Z19" s="12" t="n">
        <f aca="false">X19*Y19</f>
        <v>0</v>
      </c>
      <c r="AA19" s="32" t="n">
        <f aca="false">X19+Z19</f>
        <v>0</v>
      </c>
      <c r="AB19" s="11" t="n">
        <v>0</v>
      </c>
      <c r="AC19" s="31" t="n">
        <v>0.21</v>
      </c>
      <c r="AD19" s="12" t="n">
        <f aca="false">AB19*AC19</f>
        <v>0</v>
      </c>
      <c r="AE19" s="32" t="n">
        <f aca="false">AB19+AD19</f>
        <v>0</v>
      </c>
      <c r="AF19" s="11" t="n">
        <v>0</v>
      </c>
      <c r="AG19" s="31" t="n">
        <v>0.21</v>
      </c>
      <c r="AH19" s="12" t="n">
        <f aca="false">AF19*AG19</f>
        <v>0</v>
      </c>
      <c r="AI19" s="32" t="n">
        <f aca="false">AF19+AH19</f>
        <v>0</v>
      </c>
      <c r="AJ19" s="11" t="n">
        <v>0</v>
      </c>
      <c r="AK19" s="31" t="n">
        <v>0.21</v>
      </c>
      <c r="AL19" s="12" t="n">
        <f aca="false">AJ19*AK19</f>
        <v>0</v>
      </c>
      <c r="AM19" s="32" t="n">
        <f aca="false">AJ19+AL19</f>
        <v>0</v>
      </c>
      <c r="AN19" s="11" t="n">
        <v>0</v>
      </c>
      <c r="AO19" s="31" t="n">
        <v>0.21</v>
      </c>
      <c r="AP19" s="12" t="n">
        <f aca="false">AN19*AO19</f>
        <v>0</v>
      </c>
      <c r="AQ19" s="32" t="n">
        <f aca="false">AN19+AP19</f>
        <v>0</v>
      </c>
      <c r="AR19" s="11" t="n">
        <v>0</v>
      </c>
      <c r="AS19" s="31" t="n">
        <v>0.21</v>
      </c>
      <c r="AT19" s="12" t="n">
        <f aca="false">AR19*AS19</f>
        <v>0</v>
      </c>
      <c r="AU19" s="32" t="n">
        <f aca="false">AR19+AT19</f>
        <v>0</v>
      </c>
      <c r="AV19" s="11" t="n">
        <v>0</v>
      </c>
      <c r="AW19" s="31" t="n">
        <v>0.21</v>
      </c>
      <c r="AX19" s="12" t="n">
        <f aca="false">AV19*AW19</f>
        <v>0</v>
      </c>
      <c r="AY19" s="32" t="n">
        <f aca="false">AV19+AX19</f>
        <v>0</v>
      </c>
      <c r="AZ19" s="12" t="n">
        <f aca="false">D19+H19+L19+P19+T19+X19+AB19+AF19+AJ19+AN19+AR19+AV19-C19</f>
        <v>0</v>
      </c>
    </row>
    <row r="20" customFormat="false" ht="15" hidden="false" customHeight="true" outlineLevel="0" collapsed="false">
      <c r="A20" s="63"/>
      <c r="B20" s="54" t="s">
        <v>165</v>
      </c>
      <c r="C20" s="11" t="n">
        <v>0</v>
      </c>
      <c r="D20" s="11" t="n">
        <v>0</v>
      </c>
      <c r="E20" s="31" t="n">
        <v>0.21</v>
      </c>
      <c r="F20" s="12" t="n">
        <f aca="false">D20*E20</f>
        <v>0</v>
      </c>
      <c r="G20" s="32" t="n">
        <f aca="false">D20+F20</f>
        <v>0</v>
      </c>
      <c r="H20" s="11" t="n">
        <v>0</v>
      </c>
      <c r="I20" s="31" t="n">
        <v>0.21</v>
      </c>
      <c r="J20" s="12" t="n">
        <f aca="false">H20*I20</f>
        <v>0</v>
      </c>
      <c r="K20" s="32" t="n">
        <f aca="false">H20+J20</f>
        <v>0</v>
      </c>
      <c r="L20" s="11" t="n">
        <v>0</v>
      </c>
      <c r="M20" s="31" t="n">
        <v>0.21</v>
      </c>
      <c r="N20" s="12" t="n">
        <f aca="false">L20*M20</f>
        <v>0</v>
      </c>
      <c r="O20" s="32" t="n">
        <f aca="false">L20+N20</f>
        <v>0</v>
      </c>
      <c r="P20" s="11" t="n">
        <v>0</v>
      </c>
      <c r="Q20" s="31" t="n">
        <v>0.21</v>
      </c>
      <c r="R20" s="12" t="n">
        <f aca="false">P20*Q20</f>
        <v>0</v>
      </c>
      <c r="S20" s="32" t="n">
        <f aca="false">P20+R20</f>
        <v>0</v>
      </c>
      <c r="T20" s="11" t="n">
        <v>0</v>
      </c>
      <c r="U20" s="31" t="n">
        <v>0.21</v>
      </c>
      <c r="V20" s="12" t="n">
        <f aca="false">T20*U20</f>
        <v>0</v>
      </c>
      <c r="W20" s="32" t="n">
        <f aca="false">T20+V20</f>
        <v>0</v>
      </c>
      <c r="X20" s="11" t="n">
        <v>0</v>
      </c>
      <c r="Y20" s="31" t="n">
        <v>0.21</v>
      </c>
      <c r="Z20" s="12" t="n">
        <f aca="false">X20*Y20</f>
        <v>0</v>
      </c>
      <c r="AA20" s="32" t="n">
        <f aca="false">X20+Z20</f>
        <v>0</v>
      </c>
      <c r="AB20" s="11" t="n">
        <v>0</v>
      </c>
      <c r="AC20" s="31" t="n">
        <v>0.21</v>
      </c>
      <c r="AD20" s="12" t="n">
        <f aca="false">AB20*AC20</f>
        <v>0</v>
      </c>
      <c r="AE20" s="32" t="n">
        <f aca="false">AB20+AD20</f>
        <v>0</v>
      </c>
      <c r="AF20" s="11" t="n">
        <v>0</v>
      </c>
      <c r="AG20" s="31" t="n">
        <v>0.21</v>
      </c>
      <c r="AH20" s="12" t="n">
        <f aca="false">AF20*AG20</f>
        <v>0</v>
      </c>
      <c r="AI20" s="32" t="n">
        <f aca="false">AF20+AH20</f>
        <v>0</v>
      </c>
      <c r="AJ20" s="11" t="n">
        <v>0</v>
      </c>
      <c r="AK20" s="31" t="n">
        <v>0.21</v>
      </c>
      <c r="AL20" s="12" t="n">
        <f aca="false">AJ20*AK20</f>
        <v>0</v>
      </c>
      <c r="AM20" s="32" t="n">
        <f aca="false">AJ20+AL20</f>
        <v>0</v>
      </c>
      <c r="AN20" s="11" t="n">
        <v>0</v>
      </c>
      <c r="AO20" s="31" t="n">
        <v>0.21</v>
      </c>
      <c r="AP20" s="12" t="n">
        <f aca="false">AN20*AO20</f>
        <v>0</v>
      </c>
      <c r="AQ20" s="32" t="n">
        <f aca="false">AN20+AP20</f>
        <v>0</v>
      </c>
      <c r="AR20" s="11" t="n">
        <v>0</v>
      </c>
      <c r="AS20" s="31" t="n">
        <v>0.21</v>
      </c>
      <c r="AT20" s="12" t="n">
        <f aca="false">AR20*AS20</f>
        <v>0</v>
      </c>
      <c r="AU20" s="32" t="n">
        <f aca="false">AR20+AT20</f>
        <v>0</v>
      </c>
      <c r="AV20" s="11" t="n">
        <v>0</v>
      </c>
      <c r="AW20" s="31" t="n">
        <v>0.21</v>
      </c>
      <c r="AX20" s="12" t="n">
        <f aca="false">AV20*AW20</f>
        <v>0</v>
      </c>
      <c r="AY20" s="32" t="n">
        <f aca="false">AV20+AX20</f>
        <v>0</v>
      </c>
      <c r="AZ20" s="12" t="n">
        <f aca="false">D20+H20+L20+P20+T20+X20+AB20+AF20+AJ20+AN20+AR20+AV20-C20</f>
        <v>0</v>
      </c>
    </row>
    <row r="21" customFormat="false" ht="15" hidden="false" customHeight="true" outlineLevel="0" collapsed="false">
      <c r="A21" s="63"/>
      <c r="B21" s="54" t="s">
        <v>165</v>
      </c>
      <c r="C21" s="11" t="n">
        <v>0</v>
      </c>
      <c r="D21" s="11" t="n">
        <v>0</v>
      </c>
      <c r="E21" s="31" t="n">
        <v>0.21</v>
      </c>
      <c r="F21" s="12" t="n">
        <f aca="false">D21*E21</f>
        <v>0</v>
      </c>
      <c r="G21" s="32" t="n">
        <f aca="false">D21+F21</f>
        <v>0</v>
      </c>
      <c r="H21" s="11" t="n">
        <v>0</v>
      </c>
      <c r="I21" s="31" t="n">
        <v>0.21</v>
      </c>
      <c r="J21" s="12" t="n">
        <f aca="false">H21*I21</f>
        <v>0</v>
      </c>
      <c r="K21" s="32" t="n">
        <f aca="false">H21+J21</f>
        <v>0</v>
      </c>
      <c r="L21" s="11" t="n">
        <v>0</v>
      </c>
      <c r="M21" s="31" t="n">
        <v>0.21</v>
      </c>
      <c r="N21" s="12" t="n">
        <f aca="false">L21*M21</f>
        <v>0</v>
      </c>
      <c r="O21" s="32" t="n">
        <f aca="false">L21+N21</f>
        <v>0</v>
      </c>
      <c r="P21" s="11" t="n">
        <v>0</v>
      </c>
      <c r="Q21" s="31" t="n">
        <v>0.21</v>
      </c>
      <c r="R21" s="12" t="n">
        <f aca="false">P21*Q21</f>
        <v>0</v>
      </c>
      <c r="S21" s="32" t="n">
        <f aca="false">P21+R21</f>
        <v>0</v>
      </c>
      <c r="T21" s="11" t="n">
        <v>0</v>
      </c>
      <c r="U21" s="31" t="n">
        <v>0.21</v>
      </c>
      <c r="V21" s="12" t="n">
        <f aca="false">T21*U21</f>
        <v>0</v>
      </c>
      <c r="W21" s="32" t="n">
        <f aca="false">T21+V21</f>
        <v>0</v>
      </c>
      <c r="X21" s="11" t="n">
        <v>0</v>
      </c>
      <c r="Y21" s="31" t="n">
        <v>0.21</v>
      </c>
      <c r="Z21" s="12" t="n">
        <f aca="false">X21*Y21</f>
        <v>0</v>
      </c>
      <c r="AA21" s="32" t="n">
        <f aca="false">X21+Z21</f>
        <v>0</v>
      </c>
      <c r="AB21" s="11" t="n">
        <v>0</v>
      </c>
      <c r="AC21" s="31" t="n">
        <v>0.21</v>
      </c>
      <c r="AD21" s="12" t="n">
        <f aca="false">AB21*AC21</f>
        <v>0</v>
      </c>
      <c r="AE21" s="32" t="n">
        <f aca="false">AB21+AD21</f>
        <v>0</v>
      </c>
      <c r="AF21" s="11" t="n">
        <v>0</v>
      </c>
      <c r="AG21" s="31" t="n">
        <v>0.21</v>
      </c>
      <c r="AH21" s="12" t="n">
        <f aca="false">AF21*AG21</f>
        <v>0</v>
      </c>
      <c r="AI21" s="32" t="n">
        <f aca="false">AF21+AH21</f>
        <v>0</v>
      </c>
      <c r="AJ21" s="11" t="n">
        <v>0</v>
      </c>
      <c r="AK21" s="31" t="n">
        <v>0.21</v>
      </c>
      <c r="AL21" s="12" t="n">
        <f aca="false">AJ21*AK21</f>
        <v>0</v>
      </c>
      <c r="AM21" s="32" t="n">
        <f aca="false">AJ21+AL21</f>
        <v>0</v>
      </c>
      <c r="AN21" s="11" t="n">
        <v>0</v>
      </c>
      <c r="AO21" s="31" t="n">
        <v>0.21</v>
      </c>
      <c r="AP21" s="12" t="n">
        <f aca="false">AN21*AO21</f>
        <v>0</v>
      </c>
      <c r="AQ21" s="32" t="n">
        <f aca="false">AN21+AP21</f>
        <v>0</v>
      </c>
      <c r="AR21" s="11" t="n">
        <v>0</v>
      </c>
      <c r="AS21" s="31" t="n">
        <v>0.21</v>
      </c>
      <c r="AT21" s="12" t="n">
        <f aca="false">AR21*AS21</f>
        <v>0</v>
      </c>
      <c r="AU21" s="32" t="n">
        <f aca="false">AR21+AT21</f>
        <v>0</v>
      </c>
      <c r="AV21" s="11" t="n">
        <v>0</v>
      </c>
      <c r="AW21" s="31" t="n">
        <v>0.21</v>
      </c>
      <c r="AX21" s="12" t="n">
        <f aca="false">AV21*AW21</f>
        <v>0</v>
      </c>
      <c r="AY21" s="32" t="n">
        <f aca="false">AV21+AX21</f>
        <v>0</v>
      </c>
      <c r="AZ21" s="12" t="n">
        <f aca="false">D21+H21+L21+P21+T21+X21+AB21+AF21+AJ21+AN21+AR21+AV21-C21</f>
        <v>0</v>
      </c>
    </row>
    <row r="22" customFormat="false" ht="15.75" hidden="false" customHeight="true" outlineLevel="0" collapsed="false">
      <c r="A22" s="63"/>
      <c r="B22" s="54" t="s">
        <v>165</v>
      </c>
      <c r="C22" s="11" t="n">
        <v>0</v>
      </c>
      <c r="D22" s="11" t="n">
        <v>0</v>
      </c>
      <c r="E22" s="31" t="n">
        <v>0.21</v>
      </c>
      <c r="F22" s="12" t="n">
        <f aca="false">D22*E22</f>
        <v>0</v>
      </c>
      <c r="G22" s="32" t="n">
        <f aca="false">D22+F22</f>
        <v>0</v>
      </c>
      <c r="H22" s="11" t="n">
        <v>0</v>
      </c>
      <c r="I22" s="31" t="n">
        <v>0.21</v>
      </c>
      <c r="J22" s="12" t="n">
        <f aca="false">H22*I22</f>
        <v>0</v>
      </c>
      <c r="K22" s="32" t="n">
        <f aca="false">H22+J22</f>
        <v>0</v>
      </c>
      <c r="L22" s="11" t="n">
        <v>0</v>
      </c>
      <c r="M22" s="31" t="n">
        <v>0.21</v>
      </c>
      <c r="N22" s="12" t="n">
        <f aca="false">L22*M22</f>
        <v>0</v>
      </c>
      <c r="O22" s="32" t="n">
        <f aca="false">L22+N22</f>
        <v>0</v>
      </c>
      <c r="P22" s="11" t="n">
        <v>0</v>
      </c>
      <c r="Q22" s="31" t="n">
        <v>0.21</v>
      </c>
      <c r="R22" s="12" t="n">
        <f aca="false">P22*Q22</f>
        <v>0</v>
      </c>
      <c r="S22" s="32" t="n">
        <f aca="false">P22+R22</f>
        <v>0</v>
      </c>
      <c r="T22" s="11" t="n">
        <v>0</v>
      </c>
      <c r="U22" s="31" t="n">
        <v>0.21</v>
      </c>
      <c r="V22" s="12" t="n">
        <f aca="false">T22*U22</f>
        <v>0</v>
      </c>
      <c r="W22" s="32" t="n">
        <f aca="false">T22+V22</f>
        <v>0</v>
      </c>
      <c r="X22" s="11" t="n">
        <v>0</v>
      </c>
      <c r="Y22" s="31" t="n">
        <v>0.21</v>
      </c>
      <c r="Z22" s="12" t="n">
        <f aca="false">X22*Y22</f>
        <v>0</v>
      </c>
      <c r="AA22" s="32" t="n">
        <f aca="false">X22+Z22</f>
        <v>0</v>
      </c>
      <c r="AB22" s="11" t="n">
        <v>0</v>
      </c>
      <c r="AC22" s="31" t="n">
        <v>0.21</v>
      </c>
      <c r="AD22" s="12" t="n">
        <f aca="false">AB22*AC22</f>
        <v>0</v>
      </c>
      <c r="AE22" s="32" t="n">
        <f aca="false">AB22+AD22</f>
        <v>0</v>
      </c>
      <c r="AF22" s="11" t="n">
        <v>0</v>
      </c>
      <c r="AG22" s="31" t="n">
        <v>0.21</v>
      </c>
      <c r="AH22" s="12" t="n">
        <f aca="false">AF22*AG22</f>
        <v>0</v>
      </c>
      <c r="AI22" s="32" t="n">
        <f aca="false">AF22+AH22</f>
        <v>0</v>
      </c>
      <c r="AJ22" s="11" t="n">
        <v>0</v>
      </c>
      <c r="AK22" s="31" t="n">
        <v>0.21</v>
      </c>
      <c r="AL22" s="12" t="n">
        <f aca="false">AJ22*AK22</f>
        <v>0</v>
      </c>
      <c r="AM22" s="32" t="n">
        <f aca="false">AJ22+AL22</f>
        <v>0</v>
      </c>
      <c r="AN22" s="11" t="n">
        <v>0</v>
      </c>
      <c r="AO22" s="31" t="n">
        <v>0.21</v>
      </c>
      <c r="AP22" s="12" t="n">
        <f aca="false">AN22*AO22</f>
        <v>0</v>
      </c>
      <c r="AQ22" s="32" t="n">
        <f aca="false">AN22+AP22</f>
        <v>0</v>
      </c>
      <c r="AR22" s="11" t="n">
        <v>0</v>
      </c>
      <c r="AS22" s="31" t="n">
        <v>0.21</v>
      </c>
      <c r="AT22" s="12" t="n">
        <f aca="false">AR22*AS22</f>
        <v>0</v>
      </c>
      <c r="AU22" s="32" t="n">
        <f aca="false">AR22+AT22</f>
        <v>0</v>
      </c>
      <c r="AV22" s="11" t="n">
        <v>0</v>
      </c>
      <c r="AW22" s="31" t="n">
        <v>0.21</v>
      </c>
      <c r="AX22" s="12" t="n">
        <f aca="false">AV22*AW22</f>
        <v>0</v>
      </c>
      <c r="AY22" s="32" t="n">
        <f aca="false">AV22+AX22</f>
        <v>0</v>
      </c>
      <c r="AZ22" s="12" t="n">
        <f aca="false">D22+H22+L22+P22+T22+X22+AB22+AF22+AJ22+AN22+AR22+AV22-C22</f>
        <v>0</v>
      </c>
    </row>
    <row r="23" customFormat="false" ht="16.5" hidden="false" customHeight="true" outlineLevel="0" collapsed="false">
      <c r="B23" s="130" t="s">
        <v>166</v>
      </c>
      <c r="C23" s="21" t="n">
        <f aca="false">SUM(C7:C22)</f>
        <v>13000</v>
      </c>
      <c r="D23" s="21" t="n">
        <f aca="false">SUM(D7:D22)</f>
        <v>1083.33333333333</v>
      </c>
      <c r="E23" s="34"/>
      <c r="F23" s="21" t="n">
        <f aca="false">SUM(F7:F22)</f>
        <v>206.5</v>
      </c>
      <c r="G23" s="21" t="n">
        <f aca="false">SUM(G7:G22)</f>
        <v>1289.83333333333</v>
      </c>
      <c r="H23" s="21" t="n">
        <f aca="false">SUM(H7:H22)</f>
        <v>1083.33333333333</v>
      </c>
      <c r="I23" s="131"/>
      <c r="J23" s="21" t="n">
        <f aca="false">SUM(J7:J22)</f>
        <v>206.5</v>
      </c>
      <c r="K23" s="21" t="n">
        <f aca="false">SUM(K7:K22)</f>
        <v>1289.83333333333</v>
      </c>
      <c r="L23" s="21" t="n">
        <f aca="false">SUM(L7:L22)</f>
        <v>1083.33333333333</v>
      </c>
      <c r="M23" s="131"/>
      <c r="N23" s="21" t="n">
        <f aca="false">SUM(N7:N22)</f>
        <v>206.5</v>
      </c>
      <c r="O23" s="21" t="n">
        <f aca="false">SUM(O7:O22)</f>
        <v>1289.83333333333</v>
      </c>
      <c r="P23" s="21" t="n">
        <f aca="false">SUM(P7:P22)</f>
        <v>1083.33333333333</v>
      </c>
      <c r="Q23" s="131"/>
      <c r="R23" s="21" t="n">
        <f aca="false">SUM(R7:R22)</f>
        <v>206.5</v>
      </c>
      <c r="S23" s="21" t="n">
        <f aca="false">SUM(S7:S22)</f>
        <v>1289.83333333333</v>
      </c>
      <c r="T23" s="21" t="n">
        <f aca="false">SUM(T7:T22)</f>
        <v>1083.33333333333</v>
      </c>
      <c r="U23" s="131"/>
      <c r="V23" s="21" t="n">
        <f aca="false">SUM(V7:V22)</f>
        <v>206.5</v>
      </c>
      <c r="W23" s="21" t="n">
        <f aca="false">SUM(W7:W22)</f>
        <v>1289.83333333333</v>
      </c>
      <c r="X23" s="21" t="n">
        <f aca="false">SUM(X7:X22)</f>
        <v>1083.33333333333</v>
      </c>
      <c r="Y23" s="131"/>
      <c r="Z23" s="21" t="n">
        <f aca="false">SUM(Z7:Z22)</f>
        <v>206.5</v>
      </c>
      <c r="AA23" s="21" t="n">
        <f aca="false">SUM(AA7:AA22)</f>
        <v>1289.83333333333</v>
      </c>
      <c r="AB23" s="21" t="n">
        <f aca="false">SUM(AB7:AB22)</f>
        <v>1083.33333333333</v>
      </c>
      <c r="AC23" s="131"/>
      <c r="AD23" s="21" t="n">
        <f aca="false">SUM(AD7:AD22)</f>
        <v>206.5</v>
      </c>
      <c r="AE23" s="21" t="n">
        <f aca="false">SUM(AE7:AE22)</f>
        <v>1289.83333333333</v>
      </c>
      <c r="AF23" s="21" t="n">
        <f aca="false">SUM(AF7:AF22)</f>
        <v>1083.33333333333</v>
      </c>
      <c r="AG23" s="131"/>
      <c r="AH23" s="21" t="n">
        <f aca="false">SUM(AH7:AH22)</f>
        <v>206.5</v>
      </c>
      <c r="AI23" s="21" t="n">
        <f aca="false">SUM(AI7:AI22)</f>
        <v>1289.83333333333</v>
      </c>
      <c r="AJ23" s="21" t="n">
        <f aca="false">SUM(AJ7:AJ22)</f>
        <v>1083.33333333333</v>
      </c>
      <c r="AK23" s="131"/>
      <c r="AL23" s="21" t="n">
        <f aca="false">SUM(AL7:AL22)</f>
        <v>206.5</v>
      </c>
      <c r="AM23" s="21" t="n">
        <f aca="false">SUM(AM7:AM22)</f>
        <v>1289.83333333333</v>
      </c>
      <c r="AN23" s="21" t="n">
        <f aca="false">SUM(AN7:AN22)</f>
        <v>1083.33333333333</v>
      </c>
      <c r="AO23" s="131"/>
      <c r="AP23" s="21" t="n">
        <f aca="false">SUM(AP7:AP22)</f>
        <v>206.5</v>
      </c>
      <c r="AQ23" s="21" t="n">
        <f aca="false">SUM(AQ7:AQ22)</f>
        <v>1289.83333333333</v>
      </c>
      <c r="AR23" s="21" t="n">
        <f aca="false">SUM(AR7:AR22)</f>
        <v>1083.33333333333</v>
      </c>
      <c r="AS23" s="131"/>
      <c r="AT23" s="21" t="n">
        <f aca="false">SUM(AT7:AT22)</f>
        <v>206.5</v>
      </c>
      <c r="AU23" s="21" t="n">
        <f aca="false">SUM(AU7:AU22)</f>
        <v>1289.83333333333</v>
      </c>
      <c r="AV23" s="21" t="n">
        <f aca="false">SUM(AV7:AV22)</f>
        <v>0</v>
      </c>
      <c r="AW23" s="131"/>
      <c r="AX23" s="21" t="n">
        <f aca="false">SUM(AX7:AX22)</f>
        <v>0</v>
      </c>
      <c r="AY23" s="21" t="n">
        <f aca="false">SUM(AY7:AY22)</f>
        <v>0</v>
      </c>
    </row>
    <row r="24" customFormat="false" ht="15" hidden="false" customHeight="true" outlineLevel="0" collapsed="false">
      <c r="B24" s="4"/>
      <c r="C24" s="24"/>
      <c r="D24" s="24"/>
      <c r="E24" s="4"/>
      <c r="F24" s="4"/>
      <c r="G24" s="132"/>
    </row>
    <row r="25" customFormat="false" ht="15" hidden="false" customHeight="true" outlineLevel="0" collapsed="false">
      <c r="B25" s="4"/>
      <c r="C25" s="24"/>
      <c r="D25" s="24"/>
      <c r="E25" s="4"/>
      <c r="F25" s="4"/>
      <c r="G25" s="4"/>
    </row>
    <row r="26" customFormat="false" ht="15.75" hidden="false" customHeight="true" outlineLevel="0" collapsed="false">
      <c r="B26" s="49"/>
      <c r="C26" s="133"/>
      <c r="D26" s="86" t="s">
        <v>121</v>
      </c>
      <c r="E26" s="86"/>
      <c r="F26" s="86"/>
      <c r="G26" s="86"/>
      <c r="H26" s="86" t="s">
        <v>122</v>
      </c>
      <c r="I26" s="86"/>
      <c r="J26" s="86"/>
      <c r="K26" s="86"/>
      <c r="L26" s="86" t="s">
        <v>123</v>
      </c>
      <c r="M26" s="86"/>
      <c r="N26" s="86"/>
      <c r="O26" s="86"/>
      <c r="P26" s="86" t="s">
        <v>134</v>
      </c>
      <c r="Q26" s="86"/>
      <c r="R26" s="86"/>
      <c r="S26" s="86"/>
      <c r="T26" s="86" t="s">
        <v>135</v>
      </c>
      <c r="U26" s="86"/>
      <c r="V26" s="86"/>
      <c r="W26" s="86"/>
      <c r="X26" s="86" t="s">
        <v>136</v>
      </c>
      <c r="Y26" s="86"/>
      <c r="Z26" s="86"/>
      <c r="AA26" s="86"/>
      <c r="AB26" s="86" t="s">
        <v>139</v>
      </c>
      <c r="AC26" s="86"/>
      <c r="AD26" s="86"/>
      <c r="AE26" s="86"/>
      <c r="AF26" s="86" t="s">
        <v>140</v>
      </c>
      <c r="AG26" s="86"/>
      <c r="AH26" s="86"/>
      <c r="AI26" s="86"/>
      <c r="AJ26" s="86" t="s">
        <v>141</v>
      </c>
      <c r="AK26" s="86"/>
      <c r="AL26" s="86"/>
      <c r="AM26" s="86"/>
      <c r="AN26" s="86" t="s">
        <v>143</v>
      </c>
      <c r="AO26" s="86"/>
      <c r="AP26" s="86"/>
      <c r="AQ26" s="86"/>
      <c r="AR26" s="86" t="s">
        <v>144</v>
      </c>
      <c r="AS26" s="86"/>
      <c r="AT26" s="86"/>
      <c r="AU26" s="86"/>
      <c r="AV26" s="86" t="s">
        <v>145</v>
      </c>
      <c r="AW26" s="86"/>
      <c r="AX26" s="86"/>
      <c r="AY26" s="86"/>
      <c r="AZ26" s="134"/>
    </row>
    <row r="27" customFormat="false" ht="15.75" hidden="false" customHeight="true" outlineLevel="0" collapsed="false">
      <c r="A27" s="83"/>
      <c r="B27" s="135" t="s">
        <v>167</v>
      </c>
      <c r="C27" s="28" t="s">
        <v>149</v>
      </c>
      <c r="D27" s="28" t="s">
        <v>150</v>
      </c>
      <c r="E27" s="28" t="s">
        <v>46</v>
      </c>
      <c r="F27" s="28" t="s">
        <v>151</v>
      </c>
      <c r="G27" s="28" t="s">
        <v>152</v>
      </c>
      <c r="H27" s="28" t="s">
        <v>150</v>
      </c>
      <c r="I27" s="28" t="s">
        <v>46</v>
      </c>
      <c r="J27" s="28" t="s">
        <v>151</v>
      </c>
      <c r="K27" s="28" t="s">
        <v>152</v>
      </c>
      <c r="L27" s="28" t="s">
        <v>150</v>
      </c>
      <c r="M27" s="28" t="s">
        <v>46</v>
      </c>
      <c r="N27" s="28" t="s">
        <v>151</v>
      </c>
      <c r="O27" s="28" t="s">
        <v>152</v>
      </c>
      <c r="P27" s="28" t="s">
        <v>150</v>
      </c>
      <c r="Q27" s="28" t="s">
        <v>46</v>
      </c>
      <c r="R27" s="28" t="s">
        <v>151</v>
      </c>
      <c r="S27" s="28" t="s">
        <v>152</v>
      </c>
      <c r="T27" s="28" t="s">
        <v>150</v>
      </c>
      <c r="U27" s="28" t="s">
        <v>46</v>
      </c>
      <c r="V27" s="28" t="s">
        <v>151</v>
      </c>
      <c r="W27" s="28" t="s">
        <v>152</v>
      </c>
      <c r="X27" s="28" t="s">
        <v>150</v>
      </c>
      <c r="Y27" s="28" t="s">
        <v>46</v>
      </c>
      <c r="Z27" s="28" t="s">
        <v>151</v>
      </c>
      <c r="AA27" s="28" t="s">
        <v>152</v>
      </c>
      <c r="AB27" s="28" t="s">
        <v>150</v>
      </c>
      <c r="AC27" s="28" t="s">
        <v>46</v>
      </c>
      <c r="AD27" s="28" t="s">
        <v>151</v>
      </c>
      <c r="AE27" s="28" t="s">
        <v>152</v>
      </c>
      <c r="AF27" s="28" t="s">
        <v>150</v>
      </c>
      <c r="AG27" s="28" t="s">
        <v>46</v>
      </c>
      <c r="AH27" s="28" t="s">
        <v>151</v>
      </c>
      <c r="AI27" s="28" t="s">
        <v>152</v>
      </c>
      <c r="AJ27" s="28" t="s">
        <v>150</v>
      </c>
      <c r="AK27" s="28" t="s">
        <v>46</v>
      </c>
      <c r="AL27" s="28" t="s">
        <v>151</v>
      </c>
      <c r="AM27" s="28" t="s">
        <v>152</v>
      </c>
      <c r="AN27" s="28" t="s">
        <v>150</v>
      </c>
      <c r="AO27" s="28" t="s">
        <v>46</v>
      </c>
      <c r="AP27" s="28" t="s">
        <v>151</v>
      </c>
      <c r="AQ27" s="28" t="s">
        <v>152</v>
      </c>
      <c r="AR27" s="28" t="s">
        <v>150</v>
      </c>
      <c r="AS27" s="28" t="s">
        <v>46</v>
      </c>
      <c r="AT27" s="28" t="s">
        <v>151</v>
      </c>
      <c r="AU27" s="28" t="s">
        <v>152</v>
      </c>
      <c r="AV27" s="28" t="s">
        <v>150</v>
      </c>
      <c r="AW27" s="28" t="s">
        <v>46</v>
      </c>
      <c r="AX27" s="28" t="s">
        <v>151</v>
      </c>
      <c r="AY27" s="28" t="s">
        <v>152</v>
      </c>
      <c r="AZ27" s="30" t="s">
        <v>153</v>
      </c>
    </row>
    <row r="28" customFormat="false" ht="15.75" hidden="false" customHeight="true" outlineLevel="0" collapsed="false">
      <c r="A28" s="63"/>
      <c r="B28" s="136" t="s">
        <v>168</v>
      </c>
      <c r="C28" s="11" t="n">
        <v>0</v>
      </c>
      <c r="D28" s="11" t="n">
        <v>0</v>
      </c>
      <c r="E28" s="31" t="n">
        <v>0.21</v>
      </c>
      <c r="F28" s="12" t="n">
        <f aca="false">D28*E28</f>
        <v>0</v>
      </c>
      <c r="G28" s="32" t="n">
        <f aca="false">D28+F28</f>
        <v>0</v>
      </c>
      <c r="H28" s="11" t="n">
        <v>0</v>
      </c>
      <c r="I28" s="31" t="n">
        <v>0.21</v>
      </c>
      <c r="J28" s="12" t="n">
        <f aca="false">H28*I28</f>
        <v>0</v>
      </c>
      <c r="K28" s="32" t="n">
        <f aca="false">H28+J28</f>
        <v>0</v>
      </c>
      <c r="L28" s="11" t="n">
        <v>0</v>
      </c>
      <c r="M28" s="31" t="n">
        <v>0.21</v>
      </c>
      <c r="N28" s="12" t="n">
        <f aca="false">L28*M28</f>
        <v>0</v>
      </c>
      <c r="O28" s="32" t="n">
        <f aca="false">L28+N28</f>
        <v>0</v>
      </c>
      <c r="P28" s="11" t="n">
        <v>0</v>
      </c>
      <c r="Q28" s="31" t="n">
        <v>0.21</v>
      </c>
      <c r="R28" s="12" t="n">
        <f aca="false">P28*Q28</f>
        <v>0</v>
      </c>
      <c r="S28" s="32" t="n">
        <f aca="false">P28+R28</f>
        <v>0</v>
      </c>
      <c r="T28" s="11" t="n">
        <v>0</v>
      </c>
      <c r="U28" s="31" t="n">
        <v>0.21</v>
      </c>
      <c r="V28" s="12" t="n">
        <f aca="false">T28*U28</f>
        <v>0</v>
      </c>
      <c r="W28" s="32" t="n">
        <f aca="false">T28+V28</f>
        <v>0</v>
      </c>
      <c r="X28" s="11" t="n">
        <v>0</v>
      </c>
      <c r="Y28" s="31" t="n">
        <v>0.21</v>
      </c>
      <c r="Z28" s="12" t="n">
        <f aca="false">X28*Y28</f>
        <v>0</v>
      </c>
      <c r="AA28" s="32" t="n">
        <f aca="false">X28+Z28</f>
        <v>0</v>
      </c>
      <c r="AB28" s="11" t="n">
        <v>0</v>
      </c>
      <c r="AC28" s="31" t="n">
        <v>0.21</v>
      </c>
      <c r="AD28" s="12" t="n">
        <f aca="false">AB28*AC28</f>
        <v>0</v>
      </c>
      <c r="AE28" s="32" t="n">
        <f aca="false">AB28+AD28</f>
        <v>0</v>
      </c>
      <c r="AF28" s="11" t="n">
        <v>0</v>
      </c>
      <c r="AG28" s="31" t="n">
        <v>0.21</v>
      </c>
      <c r="AH28" s="12" t="n">
        <f aca="false">AF28*AG28</f>
        <v>0</v>
      </c>
      <c r="AI28" s="32" t="n">
        <f aca="false">AF28+AH28</f>
        <v>0</v>
      </c>
      <c r="AJ28" s="11" t="n">
        <v>0</v>
      </c>
      <c r="AK28" s="31" t="n">
        <v>0.21</v>
      </c>
      <c r="AL28" s="12" t="n">
        <f aca="false">AJ28*AK28</f>
        <v>0</v>
      </c>
      <c r="AM28" s="32" t="n">
        <f aca="false">AJ28+AL28</f>
        <v>0</v>
      </c>
      <c r="AN28" s="11" t="n">
        <v>0</v>
      </c>
      <c r="AO28" s="31" t="n">
        <v>0.21</v>
      </c>
      <c r="AP28" s="12" t="n">
        <f aca="false">AN28*AO28</f>
        <v>0</v>
      </c>
      <c r="AQ28" s="32" t="n">
        <f aca="false">AN28+AP28</f>
        <v>0</v>
      </c>
      <c r="AR28" s="11" t="n">
        <v>0</v>
      </c>
      <c r="AS28" s="31" t="n">
        <v>0.21</v>
      </c>
      <c r="AT28" s="12" t="n">
        <f aca="false">AR28*AS28</f>
        <v>0</v>
      </c>
      <c r="AU28" s="32" t="n">
        <f aca="false">AR28+AT28</f>
        <v>0</v>
      </c>
      <c r="AV28" s="11" t="n">
        <v>0</v>
      </c>
      <c r="AW28" s="31" t="n">
        <v>0.21</v>
      </c>
      <c r="AX28" s="12" t="n">
        <f aca="false">AV28*AW28</f>
        <v>0</v>
      </c>
      <c r="AY28" s="32" t="n">
        <f aca="false">AV28+AX28</f>
        <v>0</v>
      </c>
      <c r="AZ28" s="12" t="n">
        <f aca="false">D28+H28+L28+P28+T28+X28+AB28+AF28+AJ28+AN28+AR28+AV28-C28</f>
        <v>0</v>
      </c>
    </row>
    <row r="29" customFormat="false" ht="15.75" hidden="false" customHeight="true" outlineLevel="0" collapsed="false">
      <c r="A29" s="63"/>
      <c r="B29" s="136" t="s">
        <v>169</v>
      </c>
      <c r="C29" s="11" t="n">
        <v>0</v>
      </c>
      <c r="D29" s="11" t="n">
        <v>0</v>
      </c>
      <c r="E29" s="31" t="n">
        <v>0.21</v>
      </c>
      <c r="F29" s="12" t="n">
        <f aca="false">D29*E29</f>
        <v>0</v>
      </c>
      <c r="G29" s="32" t="n">
        <f aca="false">D29+F29</f>
        <v>0</v>
      </c>
      <c r="H29" s="11" t="n">
        <v>0</v>
      </c>
      <c r="I29" s="31" t="n">
        <v>0.21</v>
      </c>
      <c r="J29" s="12" t="n">
        <f aca="false">H29*I29</f>
        <v>0</v>
      </c>
      <c r="K29" s="32" t="n">
        <f aca="false">H29+J29</f>
        <v>0</v>
      </c>
      <c r="L29" s="11" t="n">
        <v>0</v>
      </c>
      <c r="M29" s="31" t="n">
        <v>0.21</v>
      </c>
      <c r="N29" s="12" t="n">
        <f aca="false">L29*M29</f>
        <v>0</v>
      </c>
      <c r="O29" s="32" t="n">
        <f aca="false">L29+N29</f>
        <v>0</v>
      </c>
      <c r="P29" s="11" t="n">
        <v>0</v>
      </c>
      <c r="Q29" s="31" t="n">
        <v>0.21</v>
      </c>
      <c r="R29" s="12" t="n">
        <f aca="false">P29*Q29</f>
        <v>0</v>
      </c>
      <c r="S29" s="32" t="n">
        <f aca="false">P29+R29</f>
        <v>0</v>
      </c>
      <c r="T29" s="11" t="n">
        <v>0</v>
      </c>
      <c r="U29" s="31" t="n">
        <v>0.21</v>
      </c>
      <c r="V29" s="12" t="n">
        <f aca="false">T29*U29</f>
        <v>0</v>
      </c>
      <c r="W29" s="32" t="n">
        <f aca="false">T29+V29</f>
        <v>0</v>
      </c>
      <c r="X29" s="11" t="n">
        <v>0</v>
      </c>
      <c r="Y29" s="31" t="n">
        <v>0.21</v>
      </c>
      <c r="Z29" s="12" t="n">
        <f aca="false">X29*Y29</f>
        <v>0</v>
      </c>
      <c r="AA29" s="32" t="n">
        <f aca="false">X29+Z29</f>
        <v>0</v>
      </c>
      <c r="AB29" s="11" t="n">
        <v>0</v>
      </c>
      <c r="AC29" s="31" t="n">
        <v>0.21</v>
      </c>
      <c r="AD29" s="12" t="n">
        <f aca="false">AB29*AC29</f>
        <v>0</v>
      </c>
      <c r="AE29" s="32" t="n">
        <f aca="false">AB29+AD29</f>
        <v>0</v>
      </c>
      <c r="AF29" s="11" t="n">
        <v>0</v>
      </c>
      <c r="AG29" s="31" t="n">
        <v>0.21</v>
      </c>
      <c r="AH29" s="12" t="n">
        <f aca="false">AF29*AG29</f>
        <v>0</v>
      </c>
      <c r="AI29" s="32" t="n">
        <f aca="false">AF29+AH29</f>
        <v>0</v>
      </c>
      <c r="AJ29" s="11" t="n">
        <v>0</v>
      </c>
      <c r="AK29" s="31" t="n">
        <v>0.21</v>
      </c>
      <c r="AL29" s="12" t="n">
        <f aca="false">AJ29*AK29</f>
        <v>0</v>
      </c>
      <c r="AM29" s="32" t="n">
        <f aca="false">AJ29+AL29</f>
        <v>0</v>
      </c>
      <c r="AN29" s="11" t="n">
        <v>0</v>
      </c>
      <c r="AO29" s="31" t="n">
        <v>0.21</v>
      </c>
      <c r="AP29" s="12" t="n">
        <f aca="false">AN29*AO29</f>
        <v>0</v>
      </c>
      <c r="AQ29" s="32" t="n">
        <f aca="false">AN29+AP29</f>
        <v>0</v>
      </c>
      <c r="AR29" s="11" t="n">
        <v>0</v>
      </c>
      <c r="AS29" s="31" t="n">
        <v>0.21</v>
      </c>
      <c r="AT29" s="12" t="n">
        <f aca="false">AR29*AS29</f>
        <v>0</v>
      </c>
      <c r="AU29" s="32" t="n">
        <f aca="false">AR29+AT29</f>
        <v>0</v>
      </c>
      <c r="AV29" s="11" t="n">
        <v>0</v>
      </c>
      <c r="AW29" s="31" t="n">
        <v>0.21</v>
      </c>
      <c r="AX29" s="12" t="n">
        <f aca="false">AV29*AW29</f>
        <v>0</v>
      </c>
      <c r="AY29" s="32" t="n">
        <f aca="false">AV29+AX29</f>
        <v>0</v>
      </c>
      <c r="AZ29" s="12" t="n">
        <f aca="false">D29+H29+L29+P29+T29+X29+AB29+AF29+AJ29+AN29+AR29+AV29-C29</f>
        <v>0</v>
      </c>
    </row>
    <row r="30" customFormat="false" ht="15.75" hidden="false" customHeight="true" outlineLevel="0" collapsed="false">
      <c r="A30" s="63"/>
      <c r="B30" s="136" t="s">
        <v>170</v>
      </c>
      <c r="C30" s="11" t="n">
        <v>1600</v>
      </c>
      <c r="D30" s="11" t="n">
        <v>133.333333333333</v>
      </c>
      <c r="E30" s="31" t="n">
        <v>0.21</v>
      </c>
      <c r="F30" s="12" t="n">
        <f aca="false">D30*E30</f>
        <v>27.9999999999999</v>
      </c>
      <c r="G30" s="32" t="n">
        <f aca="false">D30+F30</f>
        <v>161.333333333333</v>
      </c>
      <c r="H30" s="11" t="n">
        <v>133.333333333333</v>
      </c>
      <c r="I30" s="31" t="n">
        <v>0.21</v>
      </c>
      <c r="J30" s="12" t="n">
        <f aca="false">H30*I30</f>
        <v>27.9999999999999</v>
      </c>
      <c r="K30" s="32" t="n">
        <f aca="false">H30+J30</f>
        <v>161.333333333333</v>
      </c>
      <c r="L30" s="11" t="n">
        <v>133.333333333333</v>
      </c>
      <c r="M30" s="31" t="n">
        <v>0.21</v>
      </c>
      <c r="N30" s="12" t="n">
        <f aca="false">L30*M30</f>
        <v>27.9999999999999</v>
      </c>
      <c r="O30" s="32" t="n">
        <f aca="false">L30+N30</f>
        <v>161.333333333333</v>
      </c>
      <c r="P30" s="11" t="n">
        <v>133.333333333333</v>
      </c>
      <c r="Q30" s="31" t="n">
        <v>0.21</v>
      </c>
      <c r="R30" s="12" t="n">
        <f aca="false">P30*Q30</f>
        <v>27.9999999999999</v>
      </c>
      <c r="S30" s="32" t="n">
        <f aca="false">P30+R30</f>
        <v>161.333333333333</v>
      </c>
      <c r="T30" s="11" t="n">
        <v>133.333333333333</v>
      </c>
      <c r="U30" s="31" t="n">
        <v>0.21</v>
      </c>
      <c r="V30" s="12" t="n">
        <f aca="false">T30*U30</f>
        <v>27.9999999999999</v>
      </c>
      <c r="W30" s="32" t="n">
        <f aca="false">T30+V30</f>
        <v>161.333333333333</v>
      </c>
      <c r="X30" s="11" t="n">
        <v>133.333333333333</v>
      </c>
      <c r="Y30" s="31" t="n">
        <v>0.21</v>
      </c>
      <c r="Z30" s="12" t="n">
        <f aca="false">X30*Y30</f>
        <v>27.9999999999999</v>
      </c>
      <c r="AA30" s="32" t="n">
        <f aca="false">X30+Z30</f>
        <v>161.333333333333</v>
      </c>
      <c r="AB30" s="11" t="n">
        <v>133.333333333333</v>
      </c>
      <c r="AC30" s="31" t="n">
        <v>0.21</v>
      </c>
      <c r="AD30" s="12" t="n">
        <f aca="false">AB30*AC30</f>
        <v>27.9999999999999</v>
      </c>
      <c r="AE30" s="32" t="n">
        <f aca="false">AB30+AD30</f>
        <v>161.333333333333</v>
      </c>
      <c r="AF30" s="11" t="n">
        <v>133.333333333333</v>
      </c>
      <c r="AG30" s="31" t="n">
        <v>0.21</v>
      </c>
      <c r="AH30" s="12" t="n">
        <f aca="false">AF30*AG30</f>
        <v>27.9999999999999</v>
      </c>
      <c r="AI30" s="32" t="n">
        <f aca="false">AF30+AH30</f>
        <v>161.333333333333</v>
      </c>
      <c r="AJ30" s="11" t="n">
        <v>133.333333333333</v>
      </c>
      <c r="AK30" s="31" t="n">
        <v>0.21</v>
      </c>
      <c r="AL30" s="12" t="n">
        <f aca="false">AJ30*AK30</f>
        <v>27.9999999999999</v>
      </c>
      <c r="AM30" s="32" t="n">
        <f aca="false">AJ30+AL30</f>
        <v>161.333333333333</v>
      </c>
      <c r="AN30" s="11" t="n">
        <v>133.333333333333</v>
      </c>
      <c r="AO30" s="31" t="n">
        <v>0.21</v>
      </c>
      <c r="AP30" s="12" t="n">
        <f aca="false">AN30*AO30</f>
        <v>27.9999999999999</v>
      </c>
      <c r="AQ30" s="32" t="n">
        <f aca="false">AN30+AP30</f>
        <v>161.333333333333</v>
      </c>
      <c r="AR30" s="11" t="n">
        <v>133.333333333333</v>
      </c>
      <c r="AS30" s="31" t="n">
        <v>0.21</v>
      </c>
      <c r="AT30" s="12" t="n">
        <f aca="false">AR30*AS30</f>
        <v>27.9999999999999</v>
      </c>
      <c r="AU30" s="32" t="n">
        <f aca="false">AR30+AT30</f>
        <v>161.333333333333</v>
      </c>
      <c r="AV30" s="11" t="n">
        <v>0</v>
      </c>
      <c r="AW30" s="31" t="n">
        <v>0.21</v>
      </c>
      <c r="AX30" s="12" t="n">
        <f aca="false">AV30*AW30</f>
        <v>0</v>
      </c>
      <c r="AY30" s="32" t="n">
        <f aca="false">AV30+AX30</f>
        <v>0</v>
      </c>
      <c r="AZ30" s="12" t="n">
        <f aca="false">D30+H30+L30+P30+T30+X30+AB30+AF30+AJ30+AN30+AR30+AV30-C30</f>
        <v>-133.333333333337</v>
      </c>
    </row>
    <row r="31" customFormat="false" ht="15.75" hidden="false" customHeight="true" outlineLevel="0" collapsed="false">
      <c r="A31" s="63"/>
      <c r="B31" s="136" t="s">
        <v>171</v>
      </c>
      <c r="C31" s="11" t="n">
        <v>1200</v>
      </c>
      <c r="D31" s="11" t="n">
        <v>100</v>
      </c>
      <c r="E31" s="31" t="n">
        <v>0.21</v>
      </c>
      <c r="F31" s="12" t="n">
        <f aca="false">D31*E31</f>
        <v>21</v>
      </c>
      <c r="G31" s="32" t="n">
        <f aca="false">D31+F31</f>
        <v>121</v>
      </c>
      <c r="H31" s="11" t="n">
        <v>100</v>
      </c>
      <c r="I31" s="31" t="n">
        <v>0.21</v>
      </c>
      <c r="J31" s="12" t="n">
        <f aca="false">H31*I31</f>
        <v>21</v>
      </c>
      <c r="K31" s="32" t="n">
        <f aca="false">H31+J31</f>
        <v>121</v>
      </c>
      <c r="L31" s="11" t="n">
        <v>100</v>
      </c>
      <c r="M31" s="31" t="n">
        <v>0.21</v>
      </c>
      <c r="N31" s="12" t="n">
        <f aca="false">L31*M31</f>
        <v>21</v>
      </c>
      <c r="O31" s="32" t="n">
        <f aca="false">L31+N31</f>
        <v>121</v>
      </c>
      <c r="P31" s="11" t="n">
        <v>100</v>
      </c>
      <c r="Q31" s="31" t="n">
        <v>0.21</v>
      </c>
      <c r="R31" s="12" t="n">
        <f aca="false">P31*Q31</f>
        <v>21</v>
      </c>
      <c r="S31" s="32" t="n">
        <f aca="false">P31+R31</f>
        <v>121</v>
      </c>
      <c r="T31" s="11" t="n">
        <v>100</v>
      </c>
      <c r="U31" s="31" t="n">
        <v>0.21</v>
      </c>
      <c r="V31" s="12" t="n">
        <f aca="false">T31*U31</f>
        <v>21</v>
      </c>
      <c r="W31" s="32" t="n">
        <f aca="false">T31+V31</f>
        <v>121</v>
      </c>
      <c r="X31" s="11" t="n">
        <v>100</v>
      </c>
      <c r="Y31" s="31" t="n">
        <v>0.21</v>
      </c>
      <c r="Z31" s="12" t="n">
        <f aca="false">X31*Y31</f>
        <v>21</v>
      </c>
      <c r="AA31" s="32" t="n">
        <f aca="false">X31+Z31</f>
        <v>121</v>
      </c>
      <c r="AB31" s="11" t="n">
        <v>100</v>
      </c>
      <c r="AC31" s="31" t="n">
        <v>0.21</v>
      </c>
      <c r="AD31" s="12" t="n">
        <f aca="false">AB31*AC31</f>
        <v>21</v>
      </c>
      <c r="AE31" s="32" t="n">
        <f aca="false">AB31+AD31</f>
        <v>121</v>
      </c>
      <c r="AF31" s="11" t="n">
        <v>100</v>
      </c>
      <c r="AG31" s="31" t="n">
        <v>0.21</v>
      </c>
      <c r="AH31" s="12" t="n">
        <f aca="false">AF31*AG31</f>
        <v>21</v>
      </c>
      <c r="AI31" s="32" t="n">
        <f aca="false">AF31+AH31</f>
        <v>121</v>
      </c>
      <c r="AJ31" s="11" t="n">
        <v>100</v>
      </c>
      <c r="AK31" s="31" t="n">
        <v>0.21</v>
      </c>
      <c r="AL31" s="12" t="n">
        <f aca="false">AJ31*AK31</f>
        <v>21</v>
      </c>
      <c r="AM31" s="32" t="n">
        <f aca="false">AJ31+AL31</f>
        <v>121</v>
      </c>
      <c r="AN31" s="11" t="n">
        <v>100</v>
      </c>
      <c r="AO31" s="31" t="n">
        <v>0.21</v>
      </c>
      <c r="AP31" s="12" t="n">
        <f aca="false">AN31*AO31</f>
        <v>21</v>
      </c>
      <c r="AQ31" s="32" t="n">
        <f aca="false">AN31+AP31</f>
        <v>121</v>
      </c>
      <c r="AR31" s="11" t="n">
        <v>100</v>
      </c>
      <c r="AS31" s="31" t="n">
        <v>0.21</v>
      </c>
      <c r="AT31" s="12" t="n">
        <f aca="false">AR31*AS31</f>
        <v>21</v>
      </c>
      <c r="AU31" s="32" t="n">
        <f aca="false">AR31+AT31</f>
        <v>121</v>
      </c>
      <c r="AV31" s="11" t="n">
        <v>0</v>
      </c>
      <c r="AW31" s="31" t="n">
        <v>0.21</v>
      </c>
      <c r="AX31" s="12" t="n">
        <f aca="false">AV31*AW31</f>
        <v>0</v>
      </c>
      <c r="AY31" s="32" t="n">
        <f aca="false">AV31+AX31</f>
        <v>0</v>
      </c>
      <c r="AZ31" s="12" t="n">
        <f aca="false">D31+H31+L31+P31+T31+X31+AB31+AF31+AJ31+AN31+AR31+AV31-C31</f>
        <v>-100</v>
      </c>
    </row>
    <row r="32" customFormat="false" ht="15.75" hidden="false" customHeight="true" outlineLevel="0" collapsed="false">
      <c r="A32" s="63"/>
      <c r="B32" s="136" t="s">
        <v>172</v>
      </c>
      <c r="C32" s="11" t="n">
        <v>0</v>
      </c>
      <c r="D32" s="11" t="n">
        <v>0</v>
      </c>
      <c r="E32" s="31" t="n">
        <v>0.21</v>
      </c>
      <c r="F32" s="12" t="n">
        <f aca="false">D32*E32</f>
        <v>0</v>
      </c>
      <c r="G32" s="32" t="n">
        <f aca="false">D32+F32</f>
        <v>0</v>
      </c>
      <c r="H32" s="11" t="n">
        <v>0</v>
      </c>
      <c r="I32" s="31" t="n">
        <v>0.21</v>
      </c>
      <c r="J32" s="12" t="n">
        <f aca="false">H32*I32</f>
        <v>0</v>
      </c>
      <c r="K32" s="32" t="n">
        <f aca="false">H32+J32</f>
        <v>0</v>
      </c>
      <c r="L32" s="11" t="n">
        <v>0</v>
      </c>
      <c r="M32" s="31" t="n">
        <v>0.21</v>
      </c>
      <c r="N32" s="12" t="n">
        <f aca="false">L32*M32</f>
        <v>0</v>
      </c>
      <c r="O32" s="32" t="n">
        <f aca="false">L32+N32</f>
        <v>0</v>
      </c>
      <c r="P32" s="11" t="n">
        <v>0</v>
      </c>
      <c r="Q32" s="31" t="n">
        <v>0.21</v>
      </c>
      <c r="R32" s="12" t="n">
        <f aca="false">P32*Q32</f>
        <v>0</v>
      </c>
      <c r="S32" s="32" t="n">
        <f aca="false">P32+R32</f>
        <v>0</v>
      </c>
      <c r="T32" s="11" t="n">
        <v>0</v>
      </c>
      <c r="U32" s="31" t="n">
        <v>0.21</v>
      </c>
      <c r="V32" s="12" t="n">
        <f aca="false">T32*U32</f>
        <v>0</v>
      </c>
      <c r="W32" s="32" t="n">
        <f aca="false">T32+V32</f>
        <v>0</v>
      </c>
      <c r="X32" s="11" t="n">
        <v>0</v>
      </c>
      <c r="Y32" s="31" t="n">
        <v>0.21</v>
      </c>
      <c r="Z32" s="12" t="n">
        <f aca="false">X32*Y32</f>
        <v>0</v>
      </c>
      <c r="AA32" s="32" t="n">
        <f aca="false">X32+Z32</f>
        <v>0</v>
      </c>
      <c r="AB32" s="11" t="n">
        <v>0</v>
      </c>
      <c r="AC32" s="31" t="n">
        <v>0.21</v>
      </c>
      <c r="AD32" s="12" t="n">
        <f aca="false">AB32*AC32</f>
        <v>0</v>
      </c>
      <c r="AE32" s="32" t="n">
        <f aca="false">AB32+AD32</f>
        <v>0</v>
      </c>
      <c r="AF32" s="11" t="n">
        <v>0</v>
      </c>
      <c r="AG32" s="31" t="n">
        <v>0.21</v>
      </c>
      <c r="AH32" s="12" t="n">
        <f aca="false">AF32*AG32</f>
        <v>0</v>
      </c>
      <c r="AI32" s="32" t="n">
        <f aca="false">AF32+AH32</f>
        <v>0</v>
      </c>
      <c r="AJ32" s="11" t="n">
        <v>0</v>
      </c>
      <c r="AK32" s="31" t="n">
        <v>0.21</v>
      </c>
      <c r="AL32" s="12" t="n">
        <f aca="false">AJ32*AK32</f>
        <v>0</v>
      </c>
      <c r="AM32" s="32" t="n">
        <f aca="false">AJ32+AL32</f>
        <v>0</v>
      </c>
      <c r="AN32" s="11" t="n">
        <v>0</v>
      </c>
      <c r="AO32" s="31" t="n">
        <v>0.21</v>
      </c>
      <c r="AP32" s="12" t="n">
        <f aca="false">AN32*AO32</f>
        <v>0</v>
      </c>
      <c r="AQ32" s="32" t="n">
        <f aca="false">AN32+AP32</f>
        <v>0</v>
      </c>
      <c r="AR32" s="11" t="n">
        <v>0</v>
      </c>
      <c r="AS32" s="31" t="n">
        <v>0.21</v>
      </c>
      <c r="AT32" s="12" t="n">
        <f aca="false">AR32*AS32</f>
        <v>0</v>
      </c>
      <c r="AU32" s="32" t="n">
        <f aca="false">AR32+AT32</f>
        <v>0</v>
      </c>
      <c r="AV32" s="11" t="n">
        <v>0</v>
      </c>
      <c r="AW32" s="31" t="n">
        <v>0.21</v>
      </c>
      <c r="AX32" s="12" t="n">
        <f aca="false">AV32*AW32</f>
        <v>0</v>
      </c>
      <c r="AY32" s="32" t="n">
        <f aca="false">AV32+AX32</f>
        <v>0</v>
      </c>
      <c r="AZ32" s="12" t="n">
        <f aca="false">D32+H32+L32+P32+T32+X32+AB32+AF32+AJ32+AN32+AR32+AV32-C32</f>
        <v>0</v>
      </c>
    </row>
    <row r="33" customFormat="false" ht="15.75" hidden="false" customHeight="true" outlineLevel="0" collapsed="false">
      <c r="A33" s="63"/>
      <c r="B33" s="54" t="s">
        <v>165</v>
      </c>
      <c r="C33" s="11" t="n">
        <v>0</v>
      </c>
      <c r="D33" s="11" t="n">
        <v>0</v>
      </c>
      <c r="E33" s="31" t="n">
        <v>0.21</v>
      </c>
      <c r="F33" s="12" t="n">
        <f aca="false">D33*E33</f>
        <v>0</v>
      </c>
      <c r="G33" s="32" t="n">
        <f aca="false">D33+F33</f>
        <v>0</v>
      </c>
      <c r="H33" s="11" t="n">
        <v>0</v>
      </c>
      <c r="I33" s="31" t="n">
        <v>0.21</v>
      </c>
      <c r="J33" s="12" t="n">
        <f aca="false">H33*I33</f>
        <v>0</v>
      </c>
      <c r="K33" s="32" t="n">
        <f aca="false">H33+J33</f>
        <v>0</v>
      </c>
      <c r="L33" s="11" t="n">
        <v>0</v>
      </c>
      <c r="M33" s="31" t="n">
        <v>0.21</v>
      </c>
      <c r="N33" s="12" t="n">
        <f aca="false">L33*M33</f>
        <v>0</v>
      </c>
      <c r="O33" s="32" t="n">
        <f aca="false">L33+N33</f>
        <v>0</v>
      </c>
      <c r="P33" s="11" t="n">
        <v>0</v>
      </c>
      <c r="Q33" s="31" t="n">
        <v>0.21</v>
      </c>
      <c r="R33" s="12" t="n">
        <f aca="false">P33*Q33</f>
        <v>0</v>
      </c>
      <c r="S33" s="32" t="n">
        <f aca="false">P33+R33</f>
        <v>0</v>
      </c>
      <c r="T33" s="11" t="n">
        <v>0</v>
      </c>
      <c r="U33" s="31" t="n">
        <v>0.21</v>
      </c>
      <c r="V33" s="12" t="n">
        <f aca="false">T33*U33</f>
        <v>0</v>
      </c>
      <c r="W33" s="32" t="n">
        <f aca="false">T33+V33</f>
        <v>0</v>
      </c>
      <c r="X33" s="11" t="n">
        <v>0</v>
      </c>
      <c r="Y33" s="31" t="n">
        <v>0.21</v>
      </c>
      <c r="Z33" s="12" t="n">
        <f aca="false">X33*Y33</f>
        <v>0</v>
      </c>
      <c r="AA33" s="32" t="n">
        <f aca="false">X33+Z33</f>
        <v>0</v>
      </c>
      <c r="AB33" s="11" t="n">
        <v>0</v>
      </c>
      <c r="AC33" s="31" t="n">
        <v>0.21</v>
      </c>
      <c r="AD33" s="12" t="n">
        <f aca="false">AB33*AC33</f>
        <v>0</v>
      </c>
      <c r="AE33" s="32" t="n">
        <f aca="false">AB33+AD33</f>
        <v>0</v>
      </c>
      <c r="AF33" s="11" t="n">
        <v>0</v>
      </c>
      <c r="AG33" s="31" t="n">
        <v>0.21</v>
      </c>
      <c r="AH33" s="12" t="n">
        <f aca="false">AF33*AG33</f>
        <v>0</v>
      </c>
      <c r="AI33" s="32" t="n">
        <f aca="false">AF33+AH33</f>
        <v>0</v>
      </c>
      <c r="AJ33" s="11" t="n">
        <v>0</v>
      </c>
      <c r="AK33" s="31" t="n">
        <v>0.21</v>
      </c>
      <c r="AL33" s="12" t="n">
        <f aca="false">AJ33*AK33</f>
        <v>0</v>
      </c>
      <c r="AM33" s="32" t="n">
        <f aca="false">AJ33+AL33</f>
        <v>0</v>
      </c>
      <c r="AN33" s="11" t="n">
        <v>0</v>
      </c>
      <c r="AO33" s="31" t="n">
        <v>0.21</v>
      </c>
      <c r="AP33" s="12" t="n">
        <f aca="false">AN33*AO33</f>
        <v>0</v>
      </c>
      <c r="AQ33" s="32" t="n">
        <f aca="false">AN33+AP33</f>
        <v>0</v>
      </c>
      <c r="AR33" s="11" t="n">
        <v>0</v>
      </c>
      <c r="AS33" s="31" t="n">
        <v>0.21</v>
      </c>
      <c r="AT33" s="12" t="n">
        <f aca="false">AR33*AS33</f>
        <v>0</v>
      </c>
      <c r="AU33" s="32" t="n">
        <f aca="false">AR33+AT33</f>
        <v>0</v>
      </c>
      <c r="AV33" s="11" t="n">
        <v>0</v>
      </c>
      <c r="AW33" s="31" t="n">
        <v>0.21</v>
      </c>
      <c r="AX33" s="12" t="n">
        <f aca="false">AV33*AW33</f>
        <v>0</v>
      </c>
      <c r="AY33" s="32" t="n">
        <f aca="false">AV33+AX33</f>
        <v>0</v>
      </c>
      <c r="AZ33" s="12" t="n">
        <f aca="false">D33+H33+L33+P33+T33+X33+AB33+AF33+AJ33+AN33+AR33+AV33-C33</f>
        <v>0</v>
      </c>
    </row>
    <row r="34" customFormat="false" ht="15.75" hidden="false" customHeight="true" outlineLevel="0" collapsed="false">
      <c r="A34" s="63"/>
      <c r="B34" s="54" t="s">
        <v>165</v>
      </c>
      <c r="C34" s="11" t="n">
        <v>0</v>
      </c>
      <c r="D34" s="11" t="n">
        <v>0</v>
      </c>
      <c r="E34" s="31" t="n">
        <v>0.21</v>
      </c>
      <c r="F34" s="12" t="n">
        <f aca="false">D34*E34</f>
        <v>0</v>
      </c>
      <c r="G34" s="32" t="n">
        <f aca="false">D34+F34</f>
        <v>0</v>
      </c>
      <c r="H34" s="11" t="n">
        <v>0</v>
      </c>
      <c r="I34" s="31" t="n">
        <v>0.21</v>
      </c>
      <c r="J34" s="12" t="n">
        <f aca="false">H34*I34</f>
        <v>0</v>
      </c>
      <c r="K34" s="32" t="n">
        <f aca="false">H34+J34</f>
        <v>0</v>
      </c>
      <c r="L34" s="11" t="n">
        <v>0</v>
      </c>
      <c r="M34" s="31" t="n">
        <v>0.21</v>
      </c>
      <c r="N34" s="12" t="n">
        <f aca="false">L34*M34</f>
        <v>0</v>
      </c>
      <c r="O34" s="32" t="n">
        <f aca="false">L34+N34</f>
        <v>0</v>
      </c>
      <c r="P34" s="11" t="n">
        <v>0</v>
      </c>
      <c r="Q34" s="31" t="n">
        <v>0.21</v>
      </c>
      <c r="R34" s="12" t="n">
        <f aca="false">P34*Q34</f>
        <v>0</v>
      </c>
      <c r="S34" s="32" t="n">
        <f aca="false">P34+R34</f>
        <v>0</v>
      </c>
      <c r="T34" s="11" t="n">
        <v>0</v>
      </c>
      <c r="U34" s="31" t="n">
        <v>0.21</v>
      </c>
      <c r="V34" s="12" t="n">
        <f aca="false">T34*U34</f>
        <v>0</v>
      </c>
      <c r="W34" s="32" t="n">
        <f aca="false">T34+V34</f>
        <v>0</v>
      </c>
      <c r="X34" s="11" t="n">
        <v>0</v>
      </c>
      <c r="Y34" s="31" t="n">
        <v>0.21</v>
      </c>
      <c r="Z34" s="12" t="n">
        <f aca="false">X34*Y34</f>
        <v>0</v>
      </c>
      <c r="AA34" s="32" t="n">
        <f aca="false">X34+Z34</f>
        <v>0</v>
      </c>
      <c r="AB34" s="11" t="n">
        <v>0</v>
      </c>
      <c r="AC34" s="31" t="n">
        <v>0.21</v>
      </c>
      <c r="AD34" s="12" t="n">
        <f aca="false">AB34*AC34</f>
        <v>0</v>
      </c>
      <c r="AE34" s="32" t="n">
        <f aca="false">AB34+AD34</f>
        <v>0</v>
      </c>
      <c r="AF34" s="11" t="n">
        <v>0</v>
      </c>
      <c r="AG34" s="31" t="n">
        <v>0.21</v>
      </c>
      <c r="AH34" s="12" t="n">
        <f aca="false">AF34*AG34</f>
        <v>0</v>
      </c>
      <c r="AI34" s="32" t="n">
        <f aca="false">AF34+AH34</f>
        <v>0</v>
      </c>
      <c r="AJ34" s="11" t="n">
        <v>0</v>
      </c>
      <c r="AK34" s="31" t="n">
        <v>0.21</v>
      </c>
      <c r="AL34" s="12" t="n">
        <f aca="false">AJ34*AK34</f>
        <v>0</v>
      </c>
      <c r="AM34" s="32" t="n">
        <f aca="false">AJ34+AL34</f>
        <v>0</v>
      </c>
      <c r="AN34" s="11" t="n">
        <v>0</v>
      </c>
      <c r="AO34" s="31" t="n">
        <v>0.21</v>
      </c>
      <c r="AP34" s="12" t="n">
        <f aca="false">AN34*AO34</f>
        <v>0</v>
      </c>
      <c r="AQ34" s="32" t="n">
        <f aca="false">AN34+AP34</f>
        <v>0</v>
      </c>
      <c r="AR34" s="11" t="n">
        <v>0</v>
      </c>
      <c r="AS34" s="31" t="n">
        <v>0.21</v>
      </c>
      <c r="AT34" s="12" t="n">
        <f aca="false">AR34*AS34</f>
        <v>0</v>
      </c>
      <c r="AU34" s="32" t="n">
        <f aca="false">AR34+AT34</f>
        <v>0</v>
      </c>
      <c r="AV34" s="11" t="n">
        <v>0</v>
      </c>
      <c r="AW34" s="31" t="n">
        <v>0.21</v>
      </c>
      <c r="AX34" s="12" t="n">
        <f aca="false">AV34*AW34</f>
        <v>0</v>
      </c>
      <c r="AY34" s="32" t="n">
        <f aca="false">AV34+AX34</f>
        <v>0</v>
      </c>
      <c r="AZ34" s="12" t="n">
        <f aca="false">D34+H34+L34+P34+T34+X34+AB34+AF34+AJ34+AN34+AR34+AV34-C34</f>
        <v>0</v>
      </c>
    </row>
    <row r="35" customFormat="false" ht="15.75" hidden="false" customHeight="true" outlineLevel="0" collapsed="false">
      <c r="A35" s="63"/>
      <c r="B35" s="54" t="s">
        <v>165</v>
      </c>
      <c r="C35" s="11" t="n">
        <v>0</v>
      </c>
      <c r="D35" s="11" t="n">
        <v>0</v>
      </c>
      <c r="E35" s="31" t="n">
        <v>0.21</v>
      </c>
      <c r="F35" s="12" t="n">
        <f aca="false">D35*E35</f>
        <v>0</v>
      </c>
      <c r="G35" s="32" t="n">
        <f aca="false">D35+F35</f>
        <v>0</v>
      </c>
      <c r="H35" s="11" t="n">
        <v>0</v>
      </c>
      <c r="I35" s="31" t="n">
        <v>0.21</v>
      </c>
      <c r="J35" s="12" t="n">
        <f aca="false">H35*I35</f>
        <v>0</v>
      </c>
      <c r="K35" s="32" t="n">
        <f aca="false">H35+J35</f>
        <v>0</v>
      </c>
      <c r="L35" s="11" t="n">
        <v>0</v>
      </c>
      <c r="M35" s="31" t="n">
        <v>0.21</v>
      </c>
      <c r="N35" s="12" t="n">
        <f aca="false">L35*M35</f>
        <v>0</v>
      </c>
      <c r="O35" s="32" t="n">
        <f aca="false">L35+N35</f>
        <v>0</v>
      </c>
      <c r="P35" s="11" t="n">
        <v>0</v>
      </c>
      <c r="Q35" s="31" t="n">
        <v>0.21</v>
      </c>
      <c r="R35" s="12" t="n">
        <f aca="false">P35*Q35</f>
        <v>0</v>
      </c>
      <c r="S35" s="32" t="n">
        <f aca="false">P35+R35</f>
        <v>0</v>
      </c>
      <c r="T35" s="11" t="n">
        <v>0</v>
      </c>
      <c r="U35" s="31" t="n">
        <v>0.21</v>
      </c>
      <c r="V35" s="12" t="n">
        <f aca="false">T35*U35</f>
        <v>0</v>
      </c>
      <c r="W35" s="32" t="n">
        <f aca="false">T35+V35</f>
        <v>0</v>
      </c>
      <c r="X35" s="11" t="n">
        <v>0</v>
      </c>
      <c r="Y35" s="31" t="n">
        <v>0.21</v>
      </c>
      <c r="Z35" s="12" t="n">
        <f aca="false">X35*Y35</f>
        <v>0</v>
      </c>
      <c r="AA35" s="32" t="n">
        <f aca="false">X35+Z35</f>
        <v>0</v>
      </c>
      <c r="AB35" s="11" t="n">
        <v>0</v>
      </c>
      <c r="AC35" s="31" t="n">
        <v>0.21</v>
      </c>
      <c r="AD35" s="12" t="n">
        <f aca="false">AB35*AC35</f>
        <v>0</v>
      </c>
      <c r="AE35" s="32" t="n">
        <f aca="false">AB35+AD35</f>
        <v>0</v>
      </c>
      <c r="AF35" s="11" t="n">
        <v>0</v>
      </c>
      <c r="AG35" s="31" t="n">
        <v>0.21</v>
      </c>
      <c r="AH35" s="12" t="n">
        <f aca="false">AF35*AG35</f>
        <v>0</v>
      </c>
      <c r="AI35" s="32" t="n">
        <f aca="false">AF35+AH35</f>
        <v>0</v>
      </c>
      <c r="AJ35" s="11" t="n">
        <v>0</v>
      </c>
      <c r="AK35" s="31" t="n">
        <v>0.21</v>
      </c>
      <c r="AL35" s="12" t="n">
        <f aca="false">AJ35*AK35</f>
        <v>0</v>
      </c>
      <c r="AM35" s="32" t="n">
        <f aca="false">AJ35+AL35</f>
        <v>0</v>
      </c>
      <c r="AN35" s="11" t="n">
        <v>0</v>
      </c>
      <c r="AO35" s="31" t="n">
        <v>0.21</v>
      </c>
      <c r="AP35" s="12" t="n">
        <f aca="false">AN35*AO35</f>
        <v>0</v>
      </c>
      <c r="AQ35" s="32" t="n">
        <f aca="false">AN35+AP35</f>
        <v>0</v>
      </c>
      <c r="AR35" s="11" t="n">
        <v>0</v>
      </c>
      <c r="AS35" s="31" t="n">
        <v>0.21</v>
      </c>
      <c r="AT35" s="12" t="n">
        <f aca="false">AR35*AS35</f>
        <v>0</v>
      </c>
      <c r="AU35" s="32" t="n">
        <f aca="false">AR35+AT35</f>
        <v>0</v>
      </c>
      <c r="AV35" s="11" t="n">
        <v>0</v>
      </c>
      <c r="AW35" s="31" t="n">
        <v>0.21</v>
      </c>
      <c r="AX35" s="12" t="n">
        <f aca="false">AV35*AW35</f>
        <v>0</v>
      </c>
      <c r="AY35" s="32" t="n">
        <f aca="false">AV35+AX35</f>
        <v>0</v>
      </c>
      <c r="AZ35" s="12" t="n">
        <f aca="false">D35+H35+L35+P35+T35+X35+AB35+AF35+AJ35+AN35+AR35+AV35-C35</f>
        <v>0</v>
      </c>
    </row>
    <row r="36" customFormat="false" ht="15.75" hidden="false" customHeight="true" outlineLevel="0" collapsed="false">
      <c r="A36" s="63"/>
      <c r="B36" s="54" t="s">
        <v>165</v>
      </c>
      <c r="C36" s="11" t="n">
        <v>0</v>
      </c>
      <c r="D36" s="11" t="n">
        <v>0</v>
      </c>
      <c r="E36" s="31" t="n">
        <v>0.21</v>
      </c>
      <c r="F36" s="12" t="n">
        <f aca="false">D36*E36</f>
        <v>0</v>
      </c>
      <c r="G36" s="32" t="n">
        <f aca="false">D36+F36</f>
        <v>0</v>
      </c>
      <c r="H36" s="11" t="n">
        <v>0</v>
      </c>
      <c r="I36" s="31" t="n">
        <v>0.21</v>
      </c>
      <c r="J36" s="12" t="n">
        <f aca="false">H36*I36</f>
        <v>0</v>
      </c>
      <c r="K36" s="32" t="n">
        <f aca="false">H36+J36</f>
        <v>0</v>
      </c>
      <c r="L36" s="11" t="n">
        <v>0</v>
      </c>
      <c r="M36" s="31" t="n">
        <v>0.21</v>
      </c>
      <c r="N36" s="12" t="n">
        <f aca="false">L36*M36</f>
        <v>0</v>
      </c>
      <c r="O36" s="32" t="n">
        <f aca="false">L36+N36</f>
        <v>0</v>
      </c>
      <c r="P36" s="11" t="n">
        <v>0</v>
      </c>
      <c r="Q36" s="31" t="n">
        <v>0.21</v>
      </c>
      <c r="R36" s="12" t="n">
        <f aca="false">P36*Q36</f>
        <v>0</v>
      </c>
      <c r="S36" s="32" t="n">
        <f aca="false">P36+R36</f>
        <v>0</v>
      </c>
      <c r="T36" s="11" t="n">
        <v>0</v>
      </c>
      <c r="U36" s="31" t="n">
        <v>0.21</v>
      </c>
      <c r="V36" s="12" t="n">
        <f aca="false">T36*U36</f>
        <v>0</v>
      </c>
      <c r="W36" s="32" t="n">
        <f aca="false">T36+V36</f>
        <v>0</v>
      </c>
      <c r="X36" s="11" t="n">
        <v>0</v>
      </c>
      <c r="Y36" s="31" t="n">
        <v>0.21</v>
      </c>
      <c r="Z36" s="12" t="n">
        <f aca="false">X36*Y36</f>
        <v>0</v>
      </c>
      <c r="AA36" s="32" t="n">
        <f aca="false">X36+Z36</f>
        <v>0</v>
      </c>
      <c r="AB36" s="11" t="n">
        <v>0</v>
      </c>
      <c r="AC36" s="31" t="n">
        <v>0.21</v>
      </c>
      <c r="AD36" s="12" t="n">
        <f aca="false">AB36*AC36</f>
        <v>0</v>
      </c>
      <c r="AE36" s="32" t="n">
        <f aca="false">AB36+AD36</f>
        <v>0</v>
      </c>
      <c r="AF36" s="11" t="n">
        <v>0</v>
      </c>
      <c r="AG36" s="31" t="n">
        <v>0.21</v>
      </c>
      <c r="AH36" s="12" t="n">
        <f aca="false">AF36*AG36</f>
        <v>0</v>
      </c>
      <c r="AI36" s="32" t="n">
        <f aca="false">AF36+AH36</f>
        <v>0</v>
      </c>
      <c r="AJ36" s="11" t="n">
        <v>0</v>
      </c>
      <c r="AK36" s="31" t="n">
        <v>0.21</v>
      </c>
      <c r="AL36" s="12" t="n">
        <f aca="false">AJ36*AK36</f>
        <v>0</v>
      </c>
      <c r="AM36" s="32" t="n">
        <f aca="false">AJ36+AL36</f>
        <v>0</v>
      </c>
      <c r="AN36" s="11" t="n">
        <v>0</v>
      </c>
      <c r="AO36" s="31" t="n">
        <v>0.21</v>
      </c>
      <c r="AP36" s="12" t="n">
        <f aca="false">AN36*AO36</f>
        <v>0</v>
      </c>
      <c r="AQ36" s="32" t="n">
        <f aca="false">AN36+AP36</f>
        <v>0</v>
      </c>
      <c r="AR36" s="11" t="n">
        <v>0</v>
      </c>
      <c r="AS36" s="31" t="n">
        <v>0.21</v>
      </c>
      <c r="AT36" s="12" t="n">
        <f aca="false">AR36*AS36</f>
        <v>0</v>
      </c>
      <c r="AU36" s="32" t="n">
        <f aca="false">AR36+AT36</f>
        <v>0</v>
      </c>
      <c r="AV36" s="11" t="n">
        <v>0</v>
      </c>
      <c r="AW36" s="31" t="n">
        <v>0.21</v>
      </c>
      <c r="AX36" s="12" t="n">
        <f aca="false">AV36*AW36</f>
        <v>0</v>
      </c>
      <c r="AY36" s="32" t="n">
        <f aca="false">AV36+AX36</f>
        <v>0</v>
      </c>
      <c r="AZ36" s="12" t="n">
        <f aca="false">D36+H36+L36+P36+T36+X36+AB36+AF36+AJ36+AN36+AR36+AV36-C36</f>
        <v>0</v>
      </c>
    </row>
    <row r="37" customFormat="false" ht="15.75" hidden="false" customHeight="true" outlineLevel="0" collapsed="false">
      <c r="A37" s="63"/>
      <c r="B37" s="54" t="s">
        <v>165</v>
      </c>
      <c r="C37" s="11" t="n">
        <v>0</v>
      </c>
      <c r="D37" s="11" t="n">
        <v>0</v>
      </c>
      <c r="E37" s="31" t="n">
        <v>0.21</v>
      </c>
      <c r="F37" s="12" t="n">
        <f aca="false">D37*E37</f>
        <v>0</v>
      </c>
      <c r="G37" s="32" t="n">
        <f aca="false">D37+F37</f>
        <v>0</v>
      </c>
      <c r="H37" s="11" t="n">
        <v>0</v>
      </c>
      <c r="I37" s="31" t="n">
        <v>0.21</v>
      </c>
      <c r="J37" s="12" t="n">
        <f aca="false">H37*I37</f>
        <v>0</v>
      </c>
      <c r="K37" s="32" t="n">
        <f aca="false">H37+J37</f>
        <v>0</v>
      </c>
      <c r="L37" s="11" t="n">
        <v>0</v>
      </c>
      <c r="M37" s="31" t="n">
        <v>0.21</v>
      </c>
      <c r="N37" s="12" t="n">
        <f aca="false">L37*M37</f>
        <v>0</v>
      </c>
      <c r="O37" s="32" t="n">
        <f aca="false">L37+N37</f>
        <v>0</v>
      </c>
      <c r="P37" s="11" t="n">
        <v>0</v>
      </c>
      <c r="Q37" s="31" t="n">
        <v>0.21</v>
      </c>
      <c r="R37" s="12" t="n">
        <f aca="false">P37*Q37</f>
        <v>0</v>
      </c>
      <c r="S37" s="32" t="n">
        <f aca="false">P37+R37</f>
        <v>0</v>
      </c>
      <c r="T37" s="11" t="n">
        <v>0</v>
      </c>
      <c r="U37" s="31" t="n">
        <v>0.21</v>
      </c>
      <c r="V37" s="12" t="n">
        <f aca="false">T37*U37</f>
        <v>0</v>
      </c>
      <c r="W37" s="32" t="n">
        <f aca="false">T37+V37</f>
        <v>0</v>
      </c>
      <c r="X37" s="11" t="n">
        <v>0</v>
      </c>
      <c r="Y37" s="31" t="n">
        <v>0.21</v>
      </c>
      <c r="Z37" s="12" t="n">
        <f aca="false">X37*Y37</f>
        <v>0</v>
      </c>
      <c r="AA37" s="32" t="n">
        <f aca="false">X37+Z37</f>
        <v>0</v>
      </c>
      <c r="AB37" s="11" t="n">
        <v>0</v>
      </c>
      <c r="AC37" s="31" t="n">
        <v>0.21</v>
      </c>
      <c r="AD37" s="12" t="n">
        <f aca="false">AB37*AC37</f>
        <v>0</v>
      </c>
      <c r="AE37" s="32" t="n">
        <f aca="false">AB37+AD37</f>
        <v>0</v>
      </c>
      <c r="AF37" s="11" t="n">
        <v>0</v>
      </c>
      <c r="AG37" s="31" t="n">
        <v>0.21</v>
      </c>
      <c r="AH37" s="12" t="n">
        <f aca="false">AF37*AG37</f>
        <v>0</v>
      </c>
      <c r="AI37" s="32" t="n">
        <f aca="false">AF37+AH37</f>
        <v>0</v>
      </c>
      <c r="AJ37" s="11" t="n">
        <v>0</v>
      </c>
      <c r="AK37" s="31" t="n">
        <v>0.21</v>
      </c>
      <c r="AL37" s="12" t="n">
        <f aca="false">AJ37*AK37</f>
        <v>0</v>
      </c>
      <c r="AM37" s="32" t="n">
        <f aca="false">AJ37+AL37</f>
        <v>0</v>
      </c>
      <c r="AN37" s="11" t="n">
        <v>0</v>
      </c>
      <c r="AO37" s="31" t="n">
        <v>0.21</v>
      </c>
      <c r="AP37" s="12" t="n">
        <f aca="false">AN37*AO37</f>
        <v>0</v>
      </c>
      <c r="AQ37" s="32" t="n">
        <f aca="false">AN37+AP37</f>
        <v>0</v>
      </c>
      <c r="AR37" s="11" t="n">
        <v>0</v>
      </c>
      <c r="AS37" s="31" t="n">
        <v>0.21</v>
      </c>
      <c r="AT37" s="12" t="n">
        <f aca="false">AR37*AS37</f>
        <v>0</v>
      </c>
      <c r="AU37" s="32" t="n">
        <f aca="false">AR37+AT37</f>
        <v>0</v>
      </c>
      <c r="AV37" s="11" t="n">
        <v>0</v>
      </c>
      <c r="AW37" s="31" t="n">
        <v>0.21</v>
      </c>
      <c r="AX37" s="12" t="n">
        <f aca="false">AV37*AW37</f>
        <v>0</v>
      </c>
      <c r="AY37" s="32" t="n">
        <f aca="false">AV37+AX37</f>
        <v>0</v>
      </c>
      <c r="AZ37" s="12" t="n">
        <f aca="false">D37+H37+L37+P37+T37+X37+AB37+AF37+AJ37+AN37+AR37+AV37-C37</f>
        <v>0</v>
      </c>
    </row>
    <row r="38" customFormat="false" ht="15.75" hidden="false" customHeight="true" outlineLevel="0" collapsed="false">
      <c r="A38" s="63"/>
      <c r="B38" s="54" t="s">
        <v>165</v>
      </c>
      <c r="C38" s="11" t="n">
        <v>0</v>
      </c>
      <c r="D38" s="11" t="n">
        <v>0</v>
      </c>
      <c r="E38" s="31" t="n">
        <v>0.21</v>
      </c>
      <c r="F38" s="12" t="n">
        <f aca="false">D38*E38</f>
        <v>0</v>
      </c>
      <c r="G38" s="32" t="n">
        <f aca="false">D38+F38</f>
        <v>0</v>
      </c>
      <c r="H38" s="11" t="n">
        <v>0</v>
      </c>
      <c r="I38" s="31" t="n">
        <v>0.21</v>
      </c>
      <c r="J38" s="12" t="n">
        <f aca="false">H38*I38</f>
        <v>0</v>
      </c>
      <c r="K38" s="32" t="n">
        <f aca="false">H38+J38</f>
        <v>0</v>
      </c>
      <c r="L38" s="11" t="n">
        <v>0</v>
      </c>
      <c r="M38" s="31" t="n">
        <v>0.21</v>
      </c>
      <c r="N38" s="12" t="n">
        <f aca="false">L38*M38</f>
        <v>0</v>
      </c>
      <c r="O38" s="32" t="n">
        <f aca="false">L38+N38</f>
        <v>0</v>
      </c>
      <c r="P38" s="11" t="n">
        <v>0</v>
      </c>
      <c r="Q38" s="31" t="n">
        <v>0.21</v>
      </c>
      <c r="R38" s="12" t="n">
        <f aca="false">P38*Q38</f>
        <v>0</v>
      </c>
      <c r="S38" s="32" t="n">
        <f aca="false">P38+R38</f>
        <v>0</v>
      </c>
      <c r="T38" s="11" t="n">
        <v>0</v>
      </c>
      <c r="U38" s="31" t="n">
        <v>0.21</v>
      </c>
      <c r="V38" s="12" t="n">
        <f aca="false">T38*U38</f>
        <v>0</v>
      </c>
      <c r="W38" s="32" t="n">
        <f aca="false">T38+V38</f>
        <v>0</v>
      </c>
      <c r="X38" s="11" t="n">
        <v>0</v>
      </c>
      <c r="Y38" s="31" t="n">
        <v>0.21</v>
      </c>
      <c r="Z38" s="12" t="n">
        <f aca="false">X38*Y38</f>
        <v>0</v>
      </c>
      <c r="AA38" s="32" t="n">
        <f aca="false">X38+Z38</f>
        <v>0</v>
      </c>
      <c r="AB38" s="11" t="n">
        <v>0</v>
      </c>
      <c r="AC38" s="31" t="n">
        <v>0.21</v>
      </c>
      <c r="AD38" s="12" t="n">
        <f aca="false">AB38*AC38</f>
        <v>0</v>
      </c>
      <c r="AE38" s="32" t="n">
        <f aca="false">AB38+AD38</f>
        <v>0</v>
      </c>
      <c r="AF38" s="11" t="n">
        <v>0</v>
      </c>
      <c r="AG38" s="31" t="n">
        <v>0.21</v>
      </c>
      <c r="AH38" s="12" t="n">
        <f aca="false">AF38*AG38</f>
        <v>0</v>
      </c>
      <c r="AI38" s="32" t="n">
        <f aca="false">AF38+AH38</f>
        <v>0</v>
      </c>
      <c r="AJ38" s="11" t="n">
        <v>0</v>
      </c>
      <c r="AK38" s="31" t="n">
        <v>0.21</v>
      </c>
      <c r="AL38" s="12" t="n">
        <f aca="false">AJ38*AK38</f>
        <v>0</v>
      </c>
      <c r="AM38" s="32" t="n">
        <f aca="false">AJ38+AL38</f>
        <v>0</v>
      </c>
      <c r="AN38" s="11" t="n">
        <v>0</v>
      </c>
      <c r="AO38" s="31" t="n">
        <v>0.21</v>
      </c>
      <c r="AP38" s="12" t="n">
        <f aca="false">AN38*AO38</f>
        <v>0</v>
      </c>
      <c r="AQ38" s="32" t="n">
        <f aca="false">AN38+AP38</f>
        <v>0</v>
      </c>
      <c r="AR38" s="11" t="n">
        <v>0</v>
      </c>
      <c r="AS38" s="31" t="n">
        <v>0.21</v>
      </c>
      <c r="AT38" s="12" t="n">
        <f aca="false">AR38*AS38</f>
        <v>0</v>
      </c>
      <c r="AU38" s="32" t="n">
        <f aca="false">AR38+AT38</f>
        <v>0</v>
      </c>
      <c r="AV38" s="11" t="n">
        <v>0</v>
      </c>
      <c r="AW38" s="31" t="n">
        <v>0.21</v>
      </c>
      <c r="AX38" s="12" t="n">
        <f aca="false">AV38*AW38</f>
        <v>0</v>
      </c>
      <c r="AY38" s="32" t="n">
        <f aca="false">AV38+AX38</f>
        <v>0</v>
      </c>
      <c r="AZ38" s="12" t="n">
        <f aca="false">D38+H38+L38+P38+T38+X38+AB38+AF38+AJ38+AN38+AR38+AV38-C38</f>
        <v>0</v>
      </c>
    </row>
    <row r="39" customFormat="false" ht="15.75" hidden="false" customHeight="true" outlineLevel="0" collapsed="false">
      <c r="A39" s="63"/>
      <c r="B39" s="54" t="s">
        <v>165</v>
      </c>
      <c r="C39" s="11" t="n">
        <v>0</v>
      </c>
      <c r="D39" s="11" t="n">
        <v>0</v>
      </c>
      <c r="E39" s="31" t="n">
        <v>0.21</v>
      </c>
      <c r="F39" s="12" t="n">
        <f aca="false">D39*E39</f>
        <v>0</v>
      </c>
      <c r="G39" s="32" t="n">
        <f aca="false">D39+F39</f>
        <v>0</v>
      </c>
      <c r="H39" s="11" t="n">
        <v>0</v>
      </c>
      <c r="I39" s="31" t="n">
        <v>0.21</v>
      </c>
      <c r="J39" s="12" t="n">
        <f aca="false">H39*I39</f>
        <v>0</v>
      </c>
      <c r="K39" s="32" t="n">
        <f aca="false">H39+J39</f>
        <v>0</v>
      </c>
      <c r="L39" s="11" t="n">
        <v>0</v>
      </c>
      <c r="M39" s="31" t="n">
        <v>0.21</v>
      </c>
      <c r="N39" s="12" t="n">
        <f aca="false">L39*M39</f>
        <v>0</v>
      </c>
      <c r="O39" s="32" t="n">
        <f aca="false">L39+N39</f>
        <v>0</v>
      </c>
      <c r="P39" s="11" t="n">
        <v>0</v>
      </c>
      <c r="Q39" s="31" t="n">
        <v>0.21</v>
      </c>
      <c r="R39" s="12" t="n">
        <f aca="false">P39*Q39</f>
        <v>0</v>
      </c>
      <c r="S39" s="32" t="n">
        <f aca="false">P39+R39</f>
        <v>0</v>
      </c>
      <c r="T39" s="11" t="n">
        <v>0</v>
      </c>
      <c r="U39" s="31" t="n">
        <v>0.21</v>
      </c>
      <c r="V39" s="12" t="n">
        <f aca="false">T39*U39</f>
        <v>0</v>
      </c>
      <c r="W39" s="32" t="n">
        <f aca="false">T39+V39</f>
        <v>0</v>
      </c>
      <c r="X39" s="11" t="n">
        <v>0</v>
      </c>
      <c r="Y39" s="31" t="n">
        <v>0.21</v>
      </c>
      <c r="Z39" s="12" t="n">
        <f aca="false">X39*Y39</f>
        <v>0</v>
      </c>
      <c r="AA39" s="32" t="n">
        <f aca="false">X39+Z39</f>
        <v>0</v>
      </c>
      <c r="AB39" s="11" t="n">
        <v>0</v>
      </c>
      <c r="AC39" s="31" t="n">
        <v>0.21</v>
      </c>
      <c r="AD39" s="12" t="n">
        <f aca="false">AB39*AC39</f>
        <v>0</v>
      </c>
      <c r="AE39" s="32" t="n">
        <f aca="false">AB39+AD39</f>
        <v>0</v>
      </c>
      <c r="AF39" s="11" t="n">
        <v>0</v>
      </c>
      <c r="AG39" s="31" t="n">
        <v>0.21</v>
      </c>
      <c r="AH39" s="12" t="n">
        <f aca="false">AF39*AG39</f>
        <v>0</v>
      </c>
      <c r="AI39" s="32" t="n">
        <f aca="false">AF39+AH39</f>
        <v>0</v>
      </c>
      <c r="AJ39" s="11" t="n">
        <v>0</v>
      </c>
      <c r="AK39" s="31" t="n">
        <v>0.21</v>
      </c>
      <c r="AL39" s="12" t="n">
        <f aca="false">AJ39*AK39</f>
        <v>0</v>
      </c>
      <c r="AM39" s="32" t="n">
        <f aca="false">AJ39+AL39</f>
        <v>0</v>
      </c>
      <c r="AN39" s="11" t="n">
        <v>0</v>
      </c>
      <c r="AO39" s="31" t="n">
        <v>0.21</v>
      </c>
      <c r="AP39" s="12" t="n">
        <f aca="false">AN39*AO39</f>
        <v>0</v>
      </c>
      <c r="AQ39" s="32" t="n">
        <f aca="false">AN39+AP39</f>
        <v>0</v>
      </c>
      <c r="AR39" s="11" t="n">
        <v>0</v>
      </c>
      <c r="AS39" s="31" t="n">
        <v>0.21</v>
      </c>
      <c r="AT39" s="12" t="n">
        <f aca="false">AR39*AS39</f>
        <v>0</v>
      </c>
      <c r="AU39" s="32" t="n">
        <f aca="false">AR39+AT39</f>
        <v>0</v>
      </c>
      <c r="AV39" s="11" t="n">
        <v>0</v>
      </c>
      <c r="AW39" s="31" t="n">
        <v>0.21</v>
      </c>
      <c r="AX39" s="12" t="n">
        <f aca="false">AV39*AW39</f>
        <v>0</v>
      </c>
      <c r="AY39" s="32" t="n">
        <f aca="false">AV39+AX39</f>
        <v>0</v>
      </c>
      <c r="AZ39" s="12" t="n">
        <f aca="false">D39+H39+L39+P39+T39+X39+AB39+AF39+AJ39+AN39+AR39+AV39-C39</f>
        <v>0</v>
      </c>
    </row>
    <row r="40" customFormat="false" ht="15.75" hidden="false" customHeight="true" outlineLevel="0" collapsed="false">
      <c r="A40" s="63"/>
      <c r="B40" s="54" t="s">
        <v>165</v>
      </c>
      <c r="C40" s="11" t="n">
        <v>0</v>
      </c>
      <c r="D40" s="11" t="n">
        <v>0</v>
      </c>
      <c r="E40" s="31" t="n">
        <v>0.21</v>
      </c>
      <c r="F40" s="12" t="n">
        <f aca="false">D40*E40</f>
        <v>0</v>
      </c>
      <c r="G40" s="32" t="n">
        <f aca="false">D40+F40</f>
        <v>0</v>
      </c>
      <c r="H40" s="11" t="n">
        <v>0</v>
      </c>
      <c r="I40" s="31" t="n">
        <v>0.21</v>
      </c>
      <c r="J40" s="12" t="n">
        <f aca="false">H40*I40</f>
        <v>0</v>
      </c>
      <c r="K40" s="32" t="n">
        <f aca="false">H40+J40</f>
        <v>0</v>
      </c>
      <c r="L40" s="11" t="n">
        <v>0</v>
      </c>
      <c r="M40" s="31" t="n">
        <v>0.21</v>
      </c>
      <c r="N40" s="12" t="n">
        <f aca="false">L40*M40</f>
        <v>0</v>
      </c>
      <c r="O40" s="32" t="n">
        <f aca="false">L40+N40</f>
        <v>0</v>
      </c>
      <c r="P40" s="11" t="n">
        <v>0</v>
      </c>
      <c r="Q40" s="31" t="n">
        <v>0.21</v>
      </c>
      <c r="R40" s="12" t="n">
        <f aca="false">P40*Q40</f>
        <v>0</v>
      </c>
      <c r="S40" s="32" t="n">
        <f aca="false">P40+R40</f>
        <v>0</v>
      </c>
      <c r="T40" s="11" t="n">
        <v>0</v>
      </c>
      <c r="U40" s="31" t="n">
        <v>0.21</v>
      </c>
      <c r="V40" s="12" t="n">
        <f aca="false">T40*U40</f>
        <v>0</v>
      </c>
      <c r="W40" s="32" t="n">
        <f aca="false">T40+V40</f>
        <v>0</v>
      </c>
      <c r="X40" s="11" t="n">
        <v>0</v>
      </c>
      <c r="Y40" s="31" t="n">
        <v>0.21</v>
      </c>
      <c r="Z40" s="12" t="n">
        <f aca="false">X40*Y40</f>
        <v>0</v>
      </c>
      <c r="AA40" s="32" t="n">
        <f aca="false">X40+Z40</f>
        <v>0</v>
      </c>
      <c r="AB40" s="11" t="n">
        <v>0</v>
      </c>
      <c r="AC40" s="31" t="n">
        <v>0.21</v>
      </c>
      <c r="AD40" s="12" t="n">
        <f aca="false">AB40*AC40</f>
        <v>0</v>
      </c>
      <c r="AE40" s="32" t="n">
        <f aca="false">AB40+AD40</f>
        <v>0</v>
      </c>
      <c r="AF40" s="11" t="n">
        <v>0</v>
      </c>
      <c r="AG40" s="31" t="n">
        <v>0.21</v>
      </c>
      <c r="AH40" s="12" t="n">
        <f aca="false">AF40*AG40</f>
        <v>0</v>
      </c>
      <c r="AI40" s="32" t="n">
        <f aca="false">AF40+AH40</f>
        <v>0</v>
      </c>
      <c r="AJ40" s="11" t="n">
        <v>0</v>
      </c>
      <c r="AK40" s="31" t="n">
        <v>0.21</v>
      </c>
      <c r="AL40" s="12" t="n">
        <f aca="false">AJ40*AK40</f>
        <v>0</v>
      </c>
      <c r="AM40" s="32" t="n">
        <f aca="false">AJ40+AL40</f>
        <v>0</v>
      </c>
      <c r="AN40" s="11" t="n">
        <v>0</v>
      </c>
      <c r="AO40" s="31" t="n">
        <v>0.21</v>
      </c>
      <c r="AP40" s="12" t="n">
        <f aca="false">AN40*AO40</f>
        <v>0</v>
      </c>
      <c r="AQ40" s="32" t="n">
        <f aca="false">AN40+AP40</f>
        <v>0</v>
      </c>
      <c r="AR40" s="11" t="n">
        <v>0</v>
      </c>
      <c r="AS40" s="31" t="n">
        <v>0.21</v>
      </c>
      <c r="AT40" s="12" t="n">
        <f aca="false">AR40*AS40</f>
        <v>0</v>
      </c>
      <c r="AU40" s="32" t="n">
        <f aca="false">AR40+AT40</f>
        <v>0</v>
      </c>
      <c r="AV40" s="11" t="n">
        <v>0</v>
      </c>
      <c r="AW40" s="31" t="n">
        <v>0.21</v>
      </c>
      <c r="AX40" s="12" t="n">
        <f aca="false">AV40*AW40</f>
        <v>0</v>
      </c>
      <c r="AY40" s="32" t="n">
        <f aca="false">AV40+AX40</f>
        <v>0</v>
      </c>
      <c r="AZ40" s="12" t="n">
        <f aca="false">D40+H40+L40+P40+T40+X40+AB40+AF40+AJ40+AN40+AR40+AV40-C40</f>
        <v>0</v>
      </c>
    </row>
    <row r="41" customFormat="false" ht="15.75" hidden="false" customHeight="true" outlineLevel="0" collapsed="false">
      <c r="A41" s="63"/>
      <c r="B41" s="54" t="s">
        <v>165</v>
      </c>
      <c r="C41" s="11" t="n">
        <v>0</v>
      </c>
      <c r="D41" s="11" t="n">
        <v>0</v>
      </c>
      <c r="E41" s="31" t="n">
        <v>0.21</v>
      </c>
      <c r="F41" s="12" t="n">
        <f aca="false">D41*E41</f>
        <v>0</v>
      </c>
      <c r="G41" s="32" t="n">
        <f aca="false">D41+F41</f>
        <v>0</v>
      </c>
      <c r="H41" s="11" t="n">
        <v>0</v>
      </c>
      <c r="I41" s="31" t="n">
        <v>0.21</v>
      </c>
      <c r="J41" s="12" t="n">
        <f aca="false">H41*I41</f>
        <v>0</v>
      </c>
      <c r="K41" s="32" t="n">
        <f aca="false">H41+J41</f>
        <v>0</v>
      </c>
      <c r="L41" s="11" t="n">
        <v>0</v>
      </c>
      <c r="M41" s="31" t="n">
        <v>0.21</v>
      </c>
      <c r="N41" s="12" t="n">
        <f aca="false">L41*M41</f>
        <v>0</v>
      </c>
      <c r="O41" s="32" t="n">
        <f aca="false">L41+N41</f>
        <v>0</v>
      </c>
      <c r="P41" s="11" t="n">
        <v>0</v>
      </c>
      <c r="Q41" s="31" t="n">
        <v>0.21</v>
      </c>
      <c r="R41" s="12" t="n">
        <f aca="false">P41*Q41</f>
        <v>0</v>
      </c>
      <c r="S41" s="32" t="n">
        <f aca="false">P41+R41</f>
        <v>0</v>
      </c>
      <c r="T41" s="11" t="n">
        <v>0</v>
      </c>
      <c r="U41" s="31" t="n">
        <v>0.21</v>
      </c>
      <c r="V41" s="12" t="n">
        <f aca="false">T41*U41</f>
        <v>0</v>
      </c>
      <c r="W41" s="32" t="n">
        <f aca="false">T41+V41</f>
        <v>0</v>
      </c>
      <c r="X41" s="11" t="n">
        <v>0</v>
      </c>
      <c r="Y41" s="31" t="n">
        <v>0.21</v>
      </c>
      <c r="Z41" s="12" t="n">
        <f aca="false">X41*Y41</f>
        <v>0</v>
      </c>
      <c r="AA41" s="32" t="n">
        <f aca="false">X41+Z41</f>
        <v>0</v>
      </c>
      <c r="AB41" s="11" t="n">
        <v>0</v>
      </c>
      <c r="AC41" s="31" t="n">
        <v>0.21</v>
      </c>
      <c r="AD41" s="12" t="n">
        <f aca="false">AB41*AC41</f>
        <v>0</v>
      </c>
      <c r="AE41" s="32" t="n">
        <f aca="false">AB41+AD41</f>
        <v>0</v>
      </c>
      <c r="AF41" s="11" t="n">
        <v>0</v>
      </c>
      <c r="AG41" s="31" t="n">
        <v>0.21</v>
      </c>
      <c r="AH41" s="12" t="n">
        <f aca="false">AF41*AG41</f>
        <v>0</v>
      </c>
      <c r="AI41" s="32" t="n">
        <f aca="false">AF41+AH41</f>
        <v>0</v>
      </c>
      <c r="AJ41" s="11" t="n">
        <v>0</v>
      </c>
      <c r="AK41" s="31" t="n">
        <v>0.21</v>
      </c>
      <c r="AL41" s="12" t="n">
        <f aca="false">AJ41*AK41</f>
        <v>0</v>
      </c>
      <c r="AM41" s="32" t="n">
        <f aca="false">AJ41+AL41</f>
        <v>0</v>
      </c>
      <c r="AN41" s="11" t="n">
        <v>0</v>
      </c>
      <c r="AO41" s="31" t="n">
        <v>0.21</v>
      </c>
      <c r="AP41" s="12" t="n">
        <f aca="false">AN41*AO41</f>
        <v>0</v>
      </c>
      <c r="AQ41" s="32" t="n">
        <f aca="false">AN41+AP41</f>
        <v>0</v>
      </c>
      <c r="AR41" s="11" t="n">
        <v>0</v>
      </c>
      <c r="AS41" s="31" t="n">
        <v>0.21</v>
      </c>
      <c r="AT41" s="12" t="n">
        <f aca="false">AR41*AS41</f>
        <v>0</v>
      </c>
      <c r="AU41" s="32" t="n">
        <f aca="false">AR41+AT41</f>
        <v>0</v>
      </c>
      <c r="AV41" s="11" t="n">
        <v>0</v>
      </c>
      <c r="AW41" s="31" t="n">
        <v>0.21</v>
      </c>
      <c r="AX41" s="12" t="n">
        <f aca="false">AV41*AW41</f>
        <v>0</v>
      </c>
      <c r="AY41" s="32" t="n">
        <f aca="false">AV41+AX41</f>
        <v>0</v>
      </c>
      <c r="AZ41" s="12" t="n">
        <f aca="false">D41+H41+L41+P41+T41+X41+AB41+AF41+AJ41+AN41+AR41+AV41-C41</f>
        <v>0</v>
      </c>
    </row>
    <row r="42" customFormat="false" ht="15.75" hidden="false" customHeight="true" outlineLevel="0" collapsed="false">
      <c r="A42" s="63"/>
      <c r="B42" s="54" t="s">
        <v>165</v>
      </c>
      <c r="C42" s="11" t="n">
        <v>0</v>
      </c>
      <c r="D42" s="11" t="n">
        <v>0</v>
      </c>
      <c r="E42" s="31" t="n">
        <v>0.21</v>
      </c>
      <c r="F42" s="12" t="n">
        <f aca="false">D42*E42</f>
        <v>0</v>
      </c>
      <c r="G42" s="32" t="n">
        <f aca="false">D42+F42</f>
        <v>0</v>
      </c>
      <c r="H42" s="11" t="n">
        <v>0</v>
      </c>
      <c r="I42" s="31" t="n">
        <v>0.21</v>
      </c>
      <c r="J42" s="12" t="n">
        <f aca="false">H42*I42</f>
        <v>0</v>
      </c>
      <c r="K42" s="32" t="n">
        <f aca="false">H42+J42</f>
        <v>0</v>
      </c>
      <c r="L42" s="11" t="n">
        <v>0</v>
      </c>
      <c r="M42" s="31" t="n">
        <v>0.21</v>
      </c>
      <c r="N42" s="12" t="n">
        <f aca="false">L42*M42</f>
        <v>0</v>
      </c>
      <c r="O42" s="32" t="n">
        <f aca="false">L42+N42</f>
        <v>0</v>
      </c>
      <c r="P42" s="11" t="n">
        <v>0</v>
      </c>
      <c r="Q42" s="31" t="n">
        <v>0.21</v>
      </c>
      <c r="R42" s="12" t="n">
        <f aca="false">P42*Q42</f>
        <v>0</v>
      </c>
      <c r="S42" s="32" t="n">
        <f aca="false">P42+R42</f>
        <v>0</v>
      </c>
      <c r="T42" s="11" t="n">
        <v>0</v>
      </c>
      <c r="U42" s="31" t="n">
        <v>0.21</v>
      </c>
      <c r="V42" s="12" t="n">
        <f aca="false">T42*U42</f>
        <v>0</v>
      </c>
      <c r="W42" s="32" t="n">
        <f aca="false">T42+V42</f>
        <v>0</v>
      </c>
      <c r="X42" s="11" t="n">
        <v>0</v>
      </c>
      <c r="Y42" s="31" t="n">
        <v>0.21</v>
      </c>
      <c r="Z42" s="12" t="n">
        <f aca="false">X42*Y42</f>
        <v>0</v>
      </c>
      <c r="AA42" s="32" t="n">
        <f aca="false">X42+Z42</f>
        <v>0</v>
      </c>
      <c r="AB42" s="11" t="n">
        <v>0</v>
      </c>
      <c r="AC42" s="31" t="n">
        <v>0.21</v>
      </c>
      <c r="AD42" s="12" t="n">
        <f aca="false">AB42*AC42</f>
        <v>0</v>
      </c>
      <c r="AE42" s="32" t="n">
        <f aca="false">AB42+AD42</f>
        <v>0</v>
      </c>
      <c r="AF42" s="11" t="n">
        <v>0</v>
      </c>
      <c r="AG42" s="31" t="n">
        <v>0.21</v>
      </c>
      <c r="AH42" s="12" t="n">
        <f aca="false">AF42*AG42</f>
        <v>0</v>
      </c>
      <c r="AI42" s="32" t="n">
        <f aca="false">AF42+AH42</f>
        <v>0</v>
      </c>
      <c r="AJ42" s="11" t="n">
        <v>0</v>
      </c>
      <c r="AK42" s="31" t="n">
        <v>0.21</v>
      </c>
      <c r="AL42" s="12" t="n">
        <f aca="false">AJ42*AK42</f>
        <v>0</v>
      </c>
      <c r="AM42" s="32" t="n">
        <f aca="false">AJ42+AL42</f>
        <v>0</v>
      </c>
      <c r="AN42" s="11" t="n">
        <v>0</v>
      </c>
      <c r="AO42" s="31" t="n">
        <v>0.21</v>
      </c>
      <c r="AP42" s="12" t="n">
        <f aca="false">AN42*AO42</f>
        <v>0</v>
      </c>
      <c r="AQ42" s="32" t="n">
        <f aca="false">AN42+AP42</f>
        <v>0</v>
      </c>
      <c r="AR42" s="11" t="n">
        <v>0</v>
      </c>
      <c r="AS42" s="31" t="n">
        <v>0.21</v>
      </c>
      <c r="AT42" s="12" t="n">
        <f aca="false">AR42*AS42</f>
        <v>0</v>
      </c>
      <c r="AU42" s="32" t="n">
        <f aca="false">AR42+AT42</f>
        <v>0</v>
      </c>
      <c r="AV42" s="11" t="n">
        <v>0</v>
      </c>
      <c r="AW42" s="31" t="n">
        <v>0.21</v>
      </c>
      <c r="AX42" s="12" t="n">
        <f aca="false">AV42*AW42</f>
        <v>0</v>
      </c>
      <c r="AY42" s="32" t="n">
        <f aca="false">AV42+AX42</f>
        <v>0</v>
      </c>
      <c r="AZ42" s="12" t="n">
        <f aca="false">D42+H42+L42+P42+T42+X42+AB42+AF42+AJ42+AN42+AR42+AV42-C42</f>
        <v>0</v>
      </c>
    </row>
    <row r="43" customFormat="false" ht="15.75" hidden="false" customHeight="true" outlineLevel="0" collapsed="false">
      <c r="B43" s="135" t="s">
        <v>173</v>
      </c>
      <c r="C43" s="21" t="n">
        <f aca="false">SUM(C28:C42)</f>
        <v>2800</v>
      </c>
      <c r="D43" s="21" t="n">
        <f aca="false">SUM(D28:D42)</f>
        <v>233.333333333333</v>
      </c>
      <c r="E43" s="34"/>
      <c r="F43" s="21" t="n">
        <f aca="false">SUM(F28:F42)</f>
        <v>48.9999999999999</v>
      </c>
      <c r="G43" s="21" t="n">
        <f aca="false">SUM(G28:G42)</f>
        <v>282.333333333333</v>
      </c>
      <c r="H43" s="21" t="n">
        <f aca="false">SUM(H28:H42)</f>
        <v>233.333333333333</v>
      </c>
      <c r="I43" s="131"/>
      <c r="J43" s="21" t="n">
        <f aca="false">SUM(J28:J42)</f>
        <v>48.9999999999999</v>
      </c>
      <c r="K43" s="21" t="n">
        <f aca="false">SUM(K28:K42)</f>
        <v>282.333333333333</v>
      </c>
      <c r="L43" s="21" t="n">
        <f aca="false">SUM(L28:L42)</f>
        <v>233.333333333333</v>
      </c>
      <c r="M43" s="131"/>
      <c r="N43" s="21" t="n">
        <f aca="false">SUM(N28:N42)</f>
        <v>48.9999999999999</v>
      </c>
      <c r="O43" s="21" t="n">
        <f aca="false">SUM(O28:O42)</f>
        <v>282.333333333333</v>
      </c>
      <c r="P43" s="21" t="n">
        <f aca="false">SUM(P28:P42)</f>
        <v>233.333333333333</v>
      </c>
      <c r="Q43" s="131"/>
      <c r="R43" s="21" t="n">
        <f aca="false">SUM(R28:R42)</f>
        <v>48.9999999999999</v>
      </c>
      <c r="S43" s="21" t="n">
        <f aca="false">SUM(S28:S42)</f>
        <v>282.333333333333</v>
      </c>
      <c r="T43" s="21" t="n">
        <f aca="false">SUM(T28:T42)</f>
        <v>233.333333333333</v>
      </c>
      <c r="U43" s="131"/>
      <c r="V43" s="21" t="n">
        <f aca="false">SUM(V28:V42)</f>
        <v>48.9999999999999</v>
      </c>
      <c r="W43" s="21" t="n">
        <f aca="false">SUM(W28:W42)</f>
        <v>282.333333333333</v>
      </c>
      <c r="X43" s="21" t="n">
        <f aca="false">SUM(X28:X42)</f>
        <v>233.333333333333</v>
      </c>
      <c r="Y43" s="131"/>
      <c r="Z43" s="21" t="n">
        <f aca="false">SUM(Z28:Z42)</f>
        <v>48.9999999999999</v>
      </c>
      <c r="AA43" s="21" t="n">
        <f aca="false">SUM(AA28:AA42)</f>
        <v>282.333333333333</v>
      </c>
      <c r="AB43" s="21" t="n">
        <f aca="false">SUM(AB28:AB42)</f>
        <v>233.333333333333</v>
      </c>
      <c r="AC43" s="131"/>
      <c r="AD43" s="21" t="n">
        <f aca="false">SUM(AD28:AD42)</f>
        <v>48.9999999999999</v>
      </c>
      <c r="AE43" s="21" t="n">
        <f aca="false">SUM(AE28:AE42)</f>
        <v>282.333333333333</v>
      </c>
      <c r="AF43" s="21" t="n">
        <f aca="false">SUM(AF28:AF42)</f>
        <v>233.333333333333</v>
      </c>
      <c r="AG43" s="131"/>
      <c r="AH43" s="21" t="n">
        <f aca="false">SUM(AH28:AH42)</f>
        <v>48.9999999999999</v>
      </c>
      <c r="AI43" s="21" t="n">
        <f aca="false">SUM(AI28:AI42)</f>
        <v>282.333333333333</v>
      </c>
      <c r="AJ43" s="21" t="n">
        <f aca="false">SUM(AJ28:AJ42)</f>
        <v>233.333333333333</v>
      </c>
      <c r="AK43" s="131"/>
      <c r="AL43" s="21" t="n">
        <f aca="false">SUM(AL28:AL42)</f>
        <v>48.9999999999999</v>
      </c>
      <c r="AM43" s="21" t="n">
        <f aca="false">SUM(AM28:AM42)</f>
        <v>282.333333333333</v>
      </c>
      <c r="AN43" s="21" t="n">
        <f aca="false">SUM(AN28:AN42)</f>
        <v>233.333333333333</v>
      </c>
      <c r="AO43" s="131"/>
      <c r="AP43" s="21" t="n">
        <f aca="false">SUM(AP28:AP42)</f>
        <v>48.9999999999999</v>
      </c>
      <c r="AQ43" s="21" t="n">
        <f aca="false">SUM(AQ28:AQ42)</f>
        <v>282.333333333333</v>
      </c>
      <c r="AR43" s="21" t="n">
        <f aca="false">SUM(AR28:AR42)</f>
        <v>233.333333333333</v>
      </c>
      <c r="AS43" s="131"/>
      <c r="AT43" s="21" t="n">
        <f aca="false">SUM(AT28:AT42)</f>
        <v>48.9999999999999</v>
      </c>
      <c r="AU43" s="21" t="n">
        <f aca="false">SUM(AU28:AU42)</f>
        <v>282.333333333333</v>
      </c>
      <c r="AV43" s="21" t="n">
        <f aca="false">SUM(AV28:AV42)</f>
        <v>0</v>
      </c>
      <c r="AW43" s="131"/>
      <c r="AX43" s="21" t="n">
        <f aca="false">SUM(AX28:AX42)</f>
        <v>0</v>
      </c>
      <c r="AY43" s="21" t="n">
        <f aca="false">SUM(AY28:AY42)</f>
        <v>0</v>
      </c>
      <c r="AZ43" s="12" t="n">
        <f aca="false">D44+H44+L44+P44+T44+X44+AB44+AF44+AJ44+AN44+AR44+AV44-C44</f>
        <v>0</v>
      </c>
    </row>
    <row r="44" customFormat="false" ht="15.75" hidden="false" customHeight="true" outlineLevel="0" collapsed="false">
      <c r="B44" s="4"/>
      <c r="C44" s="24"/>
      <c r="D44" s="24"/>
      <c r="E44" s="4"/>
      <c r="F44" s="4"/>
      <c r="G44" s="4"/>
    </row>
    <row r="45" customFormat="false" ht="15.75" hidden="false" customHeight="true" outlineLevel="0" collapsed="false">
      <c r="B45" s="4"/>
      <c r="C45" s="24"/>
      <c r="D45" s="24"/>
      <c r="E45" s="4"/>
      <c r="F45" s="4"/>
      <c r="G45" s="4"/>
    </row>
    <row r="46" customFormat="false" ht="15.75" hidden="false" customHeight="true" outlineLevel="0" collapsed="false">
      <c r="B46" s="137" t="s">
        <v>174</v>
      </c>
      <c r="C46" s="137"/>
      <c r="D46" s="138" t="n">
        <f aca="false">G23+K23+O23+S23+W23+AA23+AE23+AI23+AM23+AQ23+AU23+AY23</f>
        <v>14188.1666666667</v>
      </c>
      <c r="E46" s="36"/>
      <c r="F46" s="36"/>
      <c r="G46" s="4"/>
    </row>
    <row r="47" customFormat="false" ht="15.75" hidden="false" customHeight="true" outlineLevel="0" collapsed="false">
      <c r="B47" s="139" t="s">
        <v>175</v>
      </c>
      <c r="C47" s="139"/>
      <c r="D47" s="140" t="n">
        <f aca="false">G43+K43+O43+S43+W43+AA43+AE43+AI43+AM43+AQ43+AU43+AY43</f>
        <v>3105.66666666666</v>
      </c>
      <c r="E47" s="36"/>
      <c r="F47" s="36"/>
      <c r="G47" s="4"/>
    </row>
    <row r="48" customFormat="false" ht="15.75" hidden="false" customHeight="true" outlineLevel="0" collapsed="false">
      <c r="B48" s="4"/>
      <c r="C48" s="24"/>
      <c r="D48" s="24"/>
      <c r="E48" s="4"/>
      <c r="F48" s="4"/>
      <c r="G48" s="4"/>
    </row>
    <row r="49" customFormat="false" ht="15.75" hidden="false" customHeight="true" outlineLevel="0" collapsed="false">
      <c r="A49" s="116" t="s">
        <v>176</v>
      </c>
      <c r="B49" s="116"/>
      <c r="C49" s="116"/>
      <c r="D49" s="116"/>
      <c r="E49" s="116"/>
      <c r="F49" s="116"/>
      <c r="G49" s="116"/>
      <c r="H49" s="116"/>
      <c r="I49" s="116"/>
      <c r="J49" s="116"/>
      <c r="L49" s="141"/>
    </row>
    <row r="50" customFormat="false" ht="15.75" hidden="false" customHeight="true" outlineLevel="0" collapsed="false">
      <c r="B50" s="4"/>
      <c r="C50" s="24"/>
      <c r="D50" s="24"/>
      <c r="E50" s="4"/>
      <c r="F50" s="4"/>
      <c r="G50" s="4"/>
      <c r="L50" s="142"/>
    </row>
    <row r="51" customFormat="false" ht="15.75" hidden="false" customHeight="true" outlineLevel="0" collapsed="false">
      <c r="B51" s="4"/>
      <c r="C51" s="24"/>
      <c r="D51" s="24"/>
      <c r="E51" s="4"/>
      <c r="F51" s="4"/>
      <c r="G51" s="4"/>
    </row>
    <row r="52" customFormat="false" ht="15.75" hidden="false" customHeight="true" outlineLevel="0" collapsed="false">
      <c r="B52" s="4"/>
      <c r="C52" s="24"/>
      <c r="D52" s="24"/>
      <c r="E52" s="4"/>
      <c r="F52" s="4"/>
      <c r="G52" s="4"/>
    </row>
    <row r="53" customFormat="false" ht="15.75" hidden="false" customHeight="true" outlineLevel="0" collapsed="false">
      <c r="B53" s="4"/>
      <c r="C53" s="24"/>
      <c r="D53" s="24"/>
      <c r="E53" s="4"/>
      <c r="F53" s="4"/>
      <c r="G53" s="4"/>
    </row>
    <row r="54" customFormat="false" ht="15.75" hidden="false" customHeight="true" outlineLevel="0" collapsed="false">
      <c r="B54" s="4"/>
      <c r="C54" s="24"/>
      <c r="D54" s="24"/>
      <c r="E54" s="4"/>
      <c r="F54" s="4"/>
      <c r="G54" s="4"/>
    </row>
    <row r="55" customFormat="false" ht="15.75" hidden="false" customHeight="true" outlineLevel="0" collapsed="false">
      <c r="C55" s="83"/>
      <c r="D55" s="83"/>
    </row>
    <row r="56" customFormat="false" ht="15.75" hidden="false" customHeight="true" outlineLevel="0" collapsed="false">
      <c r="C56" s="83"/>
      <c r="D56" s="83"/>
    </row>
    <row r="57" customFormat="false" ht="15.75" hidden="false" customHeight="true" outlineLevel="0" collapsed="false">
      <c r="C57" s="83"/>
      <c r="D57" s="83"/>
    </row>
    <row r="58" customFormat="false" ht="15.75" hidden="false" customHeight="true" outlineLevel="0" collapsed="false">
      <c r="C58" s="83"/>
      <c r="D58" s="83"/>
    </row>
    <row r="59" customFormat="false" ht="15.75" hidden="false" customHeight="true" outlineLevel="0" collapsed="false">
      <c r="C59" s="83"/>
      <c r="D59" s="83"/>
    </row>
    <row r="60" customFormat="false" ht="15.75" hidden="false" customHeight="true" outlineLevel="0" collapsed="false">
      <c r="C60" s="83"/>
      <c r="D60" s="83"/>
    </row>
    <row r="61" customFormat="false" ht="15.75" hidden="false" customHeight="true" outlineLevel="0" collapsed="false">
      <c r="C61" s="83"/>
      <c r="D61" s="83"/>
    </row>
    <row r="62" customFormat="false" ht="15.75" hidden="false" customHeight="true" outlineLevel="0" collapsed="false">
      <c r="C62" s="83"/>
      <c r="D62" s="83"/>
    </row>
    <row r="63" customFormat="false" ht="15.75" hidden="false" customHeight="true" outlineLevel="0" collapsed="false">
      <c r="C63" s="83"/>
      <c r="D63" s="83"/>
    </row>
    <row r="64" customFormat="false" ht="15.75" hidden="false" customHeight="true" outlineLevel="0" collapsed="false">
      <c r="C64" s="83"/>
      <c r="D64" s="83"/>
    </row>
    <row r="65" customFormat="false" ht="15.75" hidden="false" customHeight="true" outlineLevel="0" collapsed="false">
      <c r="C65" s="83"/>
      <c r="D65" s="83"/>
    </row>
    <row r="66" customFormat="false" ht="15.75" hidden="false" customHeight="true" outlineLevel="0" collapsed="false">
      <c r="C66" s="83"/>
      <c r="D66" s="83"/>
    </row>
    <row r="67" customFormat="false" ht="15.75" hidden="false" customHeight="true" outlineLevel="0" collapsed="false">
      <c r="C67" s="83"/>
      <c r="D67" s="83"/>
    </row>
    <row r="68" customFormat="false" ht="15.75" hidden="false" customHeight="true" outlineLevel="0" collapsed="false">
      <c r="C68" s="83"/>
      <c r="D68" s="83"/>
    </row>
    <row r="69" customFormat="false" ht="15.75" hidden="false" customHeight="true" outlineLevel="0" collapsed="false">
      <c r="C69" s="83"/>
      <c r="D69" s="83"/>
    </row>
    <row r="70" customFormat="false" ht="15.75" hidden="false" customHeight="true" outlineLevel="0" collapsed="false">
      <c r="C70" s="83"/>
      <c r="D70" s="83"/>
    </row>
    <row r="71" customFormat="false" ht="15.75" hidden="false" customHeight="true" outlineLevel="0" collapsed="false">
      <c r="C71" s="83"/>
      <c r="D71" s="83"/>
    </row>
    <row r="72" customFormat="false" ht="15.75" hidden="false" customHeight="true" outlineLevel="0" collapsed="false">
      <c r="C72" s="83"/>
      <c r="D72" s="83"/>
    </row>
    <row r="73" customFormat="false" ht="15.75" hidden="false" customHeight="true" outlineLevel="0" collapsed="false">
      <c r="C73" s="83"/>
      <c r="D73" s="83"/>
    </row>
    <row r="74" customFormat="false" ht="15.75" hidden="false" customHeight="true" outlineLevel="0" collapsed="false">
      <c r="C74" s="83"/>
      <c r="D74" s="83"/>
    </row>
    <row r="75" customFormat="false" ht="15.75" hidden="false" customHeight="true" outlineLevel="0" collapsed="false">
      <c r="C75" s="83"/>
      <c r="D75" s="83"/>
    </row>
    <row r="76" customFormat="false" ht="15.75" hidden="false" customHeight="true" outlineLevel="0" collapsed="false">
      <c r="C76" s="83"/>
      <c r="D76" s="83"/>
    </row>
    <row r="77" customFormat="false" ht="15.75" hidden="false" customHeight="true" outlineLevel="0" collapsed="false">
      <c r="C77" s="83"/>
      <c r="D77" s="83"/>
    </row>
    <row r="78" customFormat="false" ht="15.75" hidden="false" customHeight="true" outlineLevel="0" collapsed="false">
      <c r="C78" s="83"/>
      <c r="D78" s="83"/>
    </row>
    <row r="79" customFormat="false" ht="15.75" hidden="false" customHeight="true" outlineLevel="0" collapsed="false">
      <c r="C79" s="83"/>
      <c r="D79" s="83"/>
    </row>
    <row r="80" customFormat="false" ht="15.75" hidden="false" customHeight="true" outlineLevel="0" collapsed="false">
      <c r="C80" s="83"/>
      <c r="D80" s="83"/>
    </row>
    <row r="81" customFormat="false" ht="15.75" hidden="false" customHeight="true" outlineLevel="0" collapsed="false">
      <c r="C81" s="83"/>
      <c r="D81" s="83"/>
    </row>
    <row r="82" customFormat="false" ht="15.75" hidden="false" customHeight="true" outlineLevel="0" collapsed="false">
      <c r="C82" s="83"/>
      <c r="D82" s="83"/>
    </row>
    <row r="83" customFormat="false" ht="15.75" hidden="false" customHeight="true" outlineLevel="0" collapsed="false">
      <c r="C83" s="83"/>
      <c r="D83" s="83"/>
    </row>
    <row r="84" customFormat="false" ht="15.75" hidden="false" customHeight="true" outlineLevel="0" collapsed="false">
      <c r="C84" s="83"/>
      <c r="D84" s="83"/>
    </row>
    <row r="85" customFormat="false" ht="15.75" hidden="false" customHeight="true" outlineLevel="0" collapsed="false">
      <c r="C85" s="83"/>
      <c r="D85" s="83"/>
    </row>
    <row r="86" customFormat="false" ht="15.75" hidden="false" customHeight="true" outlineLevel="0" collapsed="false">
      <c r="C86" s="83"/>
      <c r="D86" s="83"/>
    </row>
    <row r="87" customFormat="false" ht="15.75" hidden="false" customHeight="true" outlineLevel="0" collapsed="false">
      <c r="C87" s="83"/>
      <c r="D87" s="83"/>
    </row>
    <row r="88" customFormat="false" ht="15.75" hidden="false" customHeight="true" outlineLevel="0" collapsed="false">
      <c r="C88" s="83"/>
      <c r="D88" s="83"/>
    </row>
    <row r="89" customFormat="false" ht="15.75" hidden="false" customHeight="true" outlineLevel="0" collapsed="false">
      <c r="C89" s="83"/>
      <c r="D89" s="83"/>
    </row>
    <row r="90" customFormat="false" ht="15.75" hidden="false" customHeight="true" outlineLevel="0" collapsed="false">
      <c r="C90" s="83"/>
      <c r="D90" s="83"/>
    </row>
    <row r="91" customFormat="false" ht="15.75" hidden="false" customHeight="true" outlineLevel="0" collapsed="false">
      <c r="C91" s="83"/>
      <c r="D91" s="83"/>
    </row>
    <row r="92" customFormat="false" ht="15.75" hidden="false" customHeight="true" outlineLevel="0" collapsed="false">
      <c r="C92" s="83"/>
      <c r="D92" s="83"/>
    </row>
    <row r="93" customFormat="false" ht="15.75" hidden="false" customHeight="true" outlineLevel="0" collapsed="false">
      <c r="C93" s="83"/>
      <c r="D93" s="83"/>
    </row>
    <row r="94" customFormat="false" ht="15.75" hidden="false" customHeight="true" outlineLevel="0" collapsed="false">
      <c r="C94" s="83"/>
      <c r="D94" s="83"/>
    </row>
    <row r="95" customFormat="false" ht="15.75" hidden="false" customHeight="true" outlineLevel="0" collapsed="false">
      <c r="C95" s="83"/>
      <c r="D95" s="83"/>
    </row>
    <row r="96" customFormat="false" ht="15.75" hidden="false" customHeight="true" outlineLevel="0" collapsed="false">
      <c r="C96" s="83"/>
      <c r="D96" s="83"/>
    </row>
    <row r="97" customFormat="false" ht="15.75" hidden="false" customHeight="true" outlineLevel="0" collapsed="false">
      <c r="C97" s="83"/>
      <c r="D97" s="83"/>
    </row>
    <row r="98" customFormat="false" ht="15.75" hidden="false" customHeight="true" outlineLevel="0" collapsed="false">
      <c r="C98" s="83"/>
      <c r="D98" s="83"/>
    </row>
    <row r="99" customFormat="false" ht="15.75" hidden="false" customHeight="true" outlineLevel="0" collapsed="false">
      <c r="C99" s="83"/>
      <c r="D99" s="83"/>
    </row>
    <row r="100" customFormat="false" ht="15.75" hidden="false" customHeight="true" outlineLevel="0" collapsed="false">
      <c r="C100" s="83"/>
      <c r="D100" s="83"/>
    </row>
    <row r="101" customFormat="false" ht="15.75" hidden="false" customHeight="true" outlineLevel="0" collapsed="false">
      <c r="C101" s="83"/>
      <c r="D101" s="83"/>
    </row>
    <row r="102" customFormat="false" ht="15.75" hidden="false" customHeight="true" outlineLevel="0" collapsed="false">
      <c r="C102" s="83"/>
      <c r="D102" s="83"/>
    </row>
    <row r="103" customFormat="false" ht="15.75" hidden="false" customHeight="true" outlineLevel="0" collapsed="false">
      <c r="C103" s="83"/>
      <c r="D103" s="83"/>
    </row>
    <row r="104" customFormat="false" ht="15.75" hidden="false" customHeight="true" outlineLevel="0" collapsed="false">
      <c r="C104" s="83"/>
      <c r="D104" s="83"/>
    </row>
    <row r="105" customFormat="false" ht="15.75" hidden="false" customHeight="true" outlineLevel="0" collapsed="false">
      <c r="C105" s="83"/>
      <c r="D105" s="83"/>
    </row>
    <row r="106" customFormat="false" ht="15.75" hidden="false" customHeight="true" outlineLevel="0" collapsed="false">
      <c r="C106" s="83"/>
      <c r="D106" s="83"/>
    </row>
    <row r="107" customFormat="false" ht="15.75" hidden="false" customHeight="true" outlineLevel="0" collapsed="false">
      <c r="C107" s="83"/>
      <c r="D107" s="83"/>
    </row>
    <row r="108" customFormat="false" ht="15.75" hidden="false" customHeight="true" outlineLevel="0" collapsed="false">
      <c r="C108" s="83"/>
      <c r="D108" s="83"/>
    </row>
    <row r="109" customFormat="false" ht="15.75" hidden="false" customHeight="true" outlineLevel="0" collapsed="false">
      <c r="C109" s="83"/>
      <c r="D109" s="83"/>
    </row>
    <row r="110" customFormat="false" ht="15.75" hidden="false" customHeight="true" outlineLevel="0" collapsed="false">
      <c r="C110" s="83"/>
      <c r="D110" s="83"/>
    </row>
    <row r="111" customFormat="false" ht="15.75" hidden="false" customHeight="true" outlineLevel="0" collapsed="false">
      <c r="C111" s="83"/>
      <c r="D111" s="83"/>
    </row>
    <row r="112" customFormat="false" ht="15.75" hidden="false" customHeight="true" outlineLevel="0" collapsed="false">
      <c r="C112" s="83"/>
      <c r="D112" s="83"/>
    </row>
    <row r="113" customFormat="false" ht="15.75" hidden="false" customHeight="true" outlineLevel="0" collapsed="false">
      <c r="C113" s="83"/>
      <c r="D113" s="83"/>
    </row>
    <row r="114" customFormat="false" ht="15.75" hidden="false" customHeight="true" outlineLevel="0" collapsed="false">
      <c r="C114" s="83"/>
      <c r="D114" s="83"/>
    </row>
    <row r="115" customFormat="false" ht="15.75" hidden="false" customHeight="true" outlineLevel="0" collapsed="false">
      <c r="C115" s="83"/>
      <c r="D115" s="83"/>
    </row>
    <row r="116" customFormat="false" ht="15.75" hidden="false" customHeight="true" outlineLevel="0" collapsed="false">
      <c r="C116" s="83"/>
      <c r="D116" s="83"/>
    </row>
    <row r="117" customFormat="false" ht="15.75" hidden="false" customHeight="true" outlineLevel="0" collapsed="false">
      <c r="C117" s="83"/>
      <c r="D117" s="83"/>
    </row>
    <row r="118" customFormat="false" ht="15.75" hidden="false" customHeight="true" outlineLevel="0" collapsed="false">
      <c r="C118" s="83"/>
      <c r="D118" s="83"/>
    </row>
    <row r="119" customFormat="false" ht="15.75" hidden="false" customHeight="true" outlineLevel="0" collapsed="false">
      <c r="C119" s="83"/>
      <c r="D119" s="83"/>
    </row>
    <row r="120" customFormat="false" ht="15.75" hidden="false" customHeight="true" outlineLevel="0" collapsed="false">
      <c r="C120" s="83"/>
      <c r="D120" s="83"/>
    </row>
    <row r="121" customFormat="false" ht="15.75" hidden="false" customHeight="true" outlineLevel="0" collapsed="false">
      <c r="C121" s="83"/>
      <c r="D121" s="83"/>
    </row>
    <row r="122" customFormat="false" ht="15.75" hidden="false" customHeight="true" outlineLevel="0" collapsed="false">
      <c r="C122" s="83"/>
      <c r="D122" s="83"/>
    </row>
    <row r="123" customFormat="false" ht="15.75" hidden="false" customHeight="true" outlineLevel="0" collapsed="false">
      <c r="C123" s="83"/>
      <c r="D123" s="83"/>
    </row>
    <row r="124" customFormat="false" ht="15.75" hidden="false" customHeight="true" outlineLevel="0" collapsed="false">
      <c r="C124" s="83"/>
      <c r="D124" s="83"/>
    </row>
    <row r="125" customFormat="false" ht="15.75" hidden="false" customHeight="true" outlineLevel="0" collapsed="false">
      <c r="C125" s="83"/>
      <c r="D125" s="83"/>
    </row>
    <row r="126" customFormat="false" ht="15.75" hidden="false" customHeight="true" outlineLevel="0" collapsed="false">
      <c r="C126" s="83"/>
      <c r="D126" s="83"/>
    </row>
    <row r="127" customFormat="false" ht="15.75" hidden="false" customHeight="true" outlineLevel="0" collapsed="false">
      <c r="C127" s="83"/>
      <c r="D127" s="83"/>
    </row>
    <row r="128" customFormat="false" ht="15.75" hidden="false" customHeight="true" outlineLevel="0" collapsed="false">
      <c r="C128" s="83"/>
      <c r="D128" s="83"/>
    </row>
    <row r="129" customFormat="false" ht="15.75" hidden="false" customHeight="true" outlineLevel="0" collapsed="false">
      <c r="C129" s="83"/>
      <c r="D129" s="83"/>
    </row>
    <row r="130" customFormat="false" ht="15.75" hidden="false" customHeight="true" outlineLevel="0" collapsed="false">
      <c r="C130" s="83"/>
      <c r="D130" s="83"/>
    </row>
    <row r="131" customFormat="false" ht="15.75" hidden="false" customHeight="true" outlineLevel="0" collapsed="false">
      <c r="C131" s="83"/>
      <c r="D131" s="83"/>
    </row>
    <row r="132" customFormat="false" ht="15.75" hidden="false" customHeight="true" outlineLevel="0" collapsed="false">
      <c r="C132" s="83"/>
      <c r="D132" s="83"/>
    </row>
    <row r="133" customFormat="false" ht="15.75" hidden="false" customHeight="true" outlineLevel="0" collapsed="false">
      <c r="C133" s="83"/>
      <c r="D133" s="83"/>
    </row>
    <row r="134" customFormat="false" ht="15.75" hidden="false" customHeight="true" outlineLevel="0" collapsed="false">
      <c r="C134" s="83"/>
      <c r="D134" s="83"/>
    </row>
    <row r="135" customFormat="false" ht="15.75" hidden="false" customHeight="true" outlineLevel="0" collapsed="false">
      <c r="C135" s="83"/>
      <c r="D135" s="83"/>
    </row>
    <row r="136" customFormat="false" ht="15.75" hidden="false" customHeight="true" outlineLevel="0" collapsed="false">
      <c r="C136" s="83"/>
      <c r="D136" s="83"/>
    </row>
    <row r="137" customFormat="false" ht="15.75" hidden="false" customHeight="true" outlineLevel="0" collapsed="false">
      <c r="C137" s="83"/>
      <c r="D137" s="83"/>
    </row>
    <row r="138" customFormat="false" ht="15.75" hidden="false" customHeight="true" outlineLevel="0" collapsed="false">
      <c r="C138" s="83"/>
      <c r="D138" s="83"/>
    </row>
    <row r="139" customFormat="false" ht="15.75" hidden="false" customHeight="true" outlineLevel="0" collapsed="false">
      <c r="C139" s="83"/>
      <c r="D139" s="83"/>
    </row>
    <row r="140" customFormat="false" ht="15.75" hidden="false" customHeight="true" outlineLevel="0" collapsed="false">
      <c r="C140" s="83"/>
      <c r="D140" s="83"/>
    </row>
    <row r="141" customFormat="false" ht="15.75" hidden="false" customHeight="true" outlineLevel="0" collapsed="false">
      <c r="C141" s="83"/>
      <c r="D141" s="83"/>
    </row>
    <row r="142" customFormat="false" ht="15.75" hidden="false" customHeight="true" outlineLevel="0" collapsed="false">
      <c r="C142" s="83"/>
      <c r="D142" s="83"/>
    </row>
    <row r="143" customFormat="false" ht="15.75" hidden="false" customHeight="true" outlineLevel="0" collapsed="false">
      <c r="C143" s="83"/>
      <c r="D143" s="83"/>
    </row>
    <row r="144" customFormat="false" ht="15.75" hidden="false" customHeight="true" outlineLevel="0" collapsed="false">
      <c r="C144" s="83"/>
      <c r="D144" s="83"/>
    </row>
    <row r="145" customFormat="false" ht="15.75" hidden="false" customHeight="true" outlineLevel="0" collapsed="false">
      <c r="C145" s="83"/>
      <c r="D145" s="83"/>
    </row>
    <row r="146" customFormat="false" ht="15.75" hidden="false" customHeight="true" outlineLevel="0" collapsed="false">
      <c r="C146" s="83"/>
      <c r="D146" s="83"/>
    </row>
    <row r="147" customFormat="false" ht="15.75" hidden="false" customHeight="true" outlineLevel="0" collapsed="false">
      <c r="C147" s="83"/>
      <c r="D147" s="83"/>
    </row>
    <row r="148" customFormat="false" ht="15.75" hidden="false" customHeight="true" outlineLevel="0" collapsed="false">
      <c r="C148" s="83"/>
      <c r="D148" s="83"/>
    </row>
    <row r="149" customFormat="false" ht="15.75" hidden="false" customHeight="true" outlineLevel="0" collapsed="false">
      <c r="C149" s="83"/>
      <c r="D149" s="83"/>
    </row>
    <row r="150" customFormat="false" ht="15.75" hidden="false" customHeight="true" outlineLevel="0" collapsed="false">
      <c r="C150" s="83"/>
      <c r="D150" s="83"/>
    </row>
    <row r="151" customFormat="false" ht="15.75" hidden="false" customHeight="true" outlineLevel="0" collapsed="false">
      <c r="C151" s="83"/>
      <c r="D151" s="83"/>
    </row>
    <row r="152" customFormat="false" ht="15.75" hidden="false" customHeight="true" outlineLevel="0" collapsed="false">
      <c r="C152" s="83"/>
      <c r="D152" s="83"/>
    </row>
    <row r="153" customFormat="false" ht="15.75" hidden="false" customHeight="true" outlineLevel="0" collapsed="false">
      <c r="C153" s="83"/>
      <c r="D153" s="83"/>
    </row>
    <row r="154" customFormat="false" ht="15.75" hidden="false" customHeight="true" outlineLevel="0" collapsed="false">
      <c r="C154" s="83"/>
      <c r="D154" s="83"/>
    </row>
    <row r="155" customFormat="false" ht="15.75" hidden="false" customHeight="true" outlineLevel="0" collapsed="false">
      <c r="C155" s="83"/>
      <c r="D155" s="83"/>
    </row>
    <row r="156" customFormat="false" ht="15.75" hidden="false" customHeight="true" outlineLevel="0" collapsed="false">
      <c r="C156" s="83"/>
      <c r="D156" s="83"/>
    </row>
    <row r="157" customFormat="false" ht="15.75" hidden="false" customHeight="true" outlineLevel="0" collapsed="false">
      <c r="C157" s="83"/>
      <c r="D157" s="83"/>
    </row>
    <row r="158" customFormat="false" ht="15.75" hidden="false" customHeight="true" outlineLevel="0" collapsed="false">
      <c r="C158" s="83"/>
      <c r="D158" s="83"/>
    </row>
    <row r="159" customFormat="false" ht="15.75" hidden="false" customHeight="true" outlineLevel="0" collapsed="false">
      <c r="C159" s="83"/>
      <c r="D159" s="83"/>
    </row>
    <row r="160" customFormat="false" ht="15.75" hidden="false" customHeight="true" outlineLevel="0" collapsed="false">
      <c r="C160" s="83"/>
      <c r="D160" s="83"/>
    </row>
    <row r="161" customFormat="false" ht="15.75" hidden="false" customHeight="true" outlineLevel="0" collapsed="false">
      <c r="C161" s="83"/>
      <c r="D161" s="83"/>
    </row>
    <row r="162" customFormat="false" ht="15.75" hidden="false" customHeight="true" outlineLevel="0" collapsed="false">
      <c r="C162" s="83"/>
      <c r="D162" s="83"/>
    </row>
    <row r="163" customFormat="false" ht="15.75" hidden="false" customHeight="true" outlineLevel="0" collapsed="false">
      <c r="C163" s="83"/>
      <c r="D163" s="83"/>
    </row>
    <row r="164" customFormat="false" ht="15.75" hidden="false" customHeight="true" outlineLevel="0" collapsed="false">
      <c r="C164" s="83"/>
      <c r="D164" s="83"/>
    </row>
    <row r="165" customFormat="false" ht="15.75" hidden="false" customHeight="true" outlineLevel="0" collapsed="false">
      <c r="C165" s="83"/>
      <c r="D165" s="83"/>
    </row>
    <row r="166" customFormat="false" ht="15.75" hidden="false" customHeight="true" outlineLevel="0" collapsed="false">
      <c r="C166" s="83"/>
      <c r="D166" s="83"/>
    </row>
    <row r="167" customFormat="false" ht="15.75" hidden="false" customHeight="true" outlineLevel="0" collapsed="false">
      <c r="C167" s="83"/>
      <c r="D167" s="83"/>
    </row>
    <row r="168" customFormat="false" ht="15.75" hidden="false" customHeight="true" outlineLevel="0" collapsed="false">
      <c r="C168" s="83"/>
      <c r="D168" s="83"/>
    </row>
    <row r="169" customFormat="false" ht="15.75" hidden="false" customHeight="true" outlineLevel="0" collapsed="false">
      <c r="C169" s="83"/>
      <c r="D169" s="83"/>
    </row>
    <row r="170" customFormat="false" ht="15.75" hidden="false" customHeight="true" outlineLevel="0" collapsed="false">
      <c r="C170" s="83"/>
      <c r="D170" s="83"/>
    </row>
    <row r="171" customFormat="false" ht="15.75" hidden="false" customHeight="true" outlineLevel="0" collapsed="false">
      <c r="C171" s="83"/>
      <c r="D171" s="83"/>
    </row>
    <row r="172" customFormat="false" ht="15.75" hidden="false" customHeight="true" outlineLevel="0" collapsed="false">
      <c r="C172" s="83"/>
      <c r="D172" s="83"/>
    </row>
    <row r="173" customFormat="false" ht="15.75" hidden="false" customHeight="true" outlineLevel="0" collapsed="false">
      <c r="C173" s="83"/>
      <c r="D173" s="83"/>
    </row>
    <row r="174" customFormat="false" ht="15.75" hidden="false" customHeight="true" outlineLevel="0" collapsed="false">
      <c r="C174" s="83"/>
      <c r="D174" s="83"/>
    </row>
    <row r="175" customFormat="false" ht="15.75" hidden="false" customHeight="true" outlineLevel="0" collapsed="false">
      <c r="C175" s="83"/>
      <c r="D175" s="83"/>
    </row>
    <row r="176" customFormat="false" ht="15.75" hidden="false" customHeight="true" outlineLevel="0" collapsed="false">
      <c r="C176" s="83"/>
      <c r="D176" s="83"/>
    </row>
    <row r="177" customFormat="false" ht="15.75" hidden="false" customHeight="true" outlineLevel="0" collapsed="false">
      <c r="C177" s="83"/>
      <c r="D177" s="83"/>
    </row>
    <row r="178" customFormat="false" ht="15.75" hidden="false" customHeight="true" outlineLevel="0" collapsed="false">
      <c r="C178" s="83"/>
      <c r="D178" s="83"/>
    </row>
    <row r="179" customFormat="false" ht="15.75" hidden="false" customHeight="true" outlineLevel="0" collapsed="false">
      <c r="C179" s="83"/>
      <c r="D179" s="83"/>
    </row>
    <row r="180" customFormat="false" ht="15.75" hidden="false" customHeight="true" outlineLevel="0" collapsed="false">
      <c r="C180" s="83"/>
      <c r="D180" s="83"/>
    </row>
    <row r="181" customFormat="false" ht="15.75" hidden="false" customHeight="true" outlineLevel="0" collapsed="false">
      <c r="C181" s="83"/>
      <c r="D181" s="83"/>
    </row>
    <row r="182" customFormat="false" ht="15.75" hidden="false" customHeight="true" outlineLevel="0" collapsed="false">
      <c r="C182" s="83"/>
      <c r="D182" s="83"/>
    </row>
    <row r="183" customFormat="false" ht="15.75" hidden="false" customHeight="true" outlineLevel="0" collapsed="false">
      <c r="C183" s="83"/>
      <c r="D183" s="83"/>
    </row>
    <row r="184" customFormat="false" ht="15.75" hidden="false" customHeight="true" outlineLevel="0" collapsed="false">
      <c r="C184" s="83"/>
      <c r="D184" s="83"/>
    </row>
    <row r="185" customFormat="false" ht="15.75" hidden="false" customHeight="true" outlineLevel="0" collapsed="false">
      <c r="C185" s="83"/>
      <c r="D185" s="83"/>
    </row>
    <row r="186" customFormat="false" ht="15.75" hidden="false" customHeight="true" outlineLevel="0" collapsed="false">
      <c r="C186" s="83"/>
      <c r="D186" s="83"/>
    </row>
    <row r="187" customFormat="false" ht="15.75" hidden="false" customHeight="true" outlineLevel="0" collapsed="false">
      <c r="C187" s="83"/>
      <c r="D187" s="83"/>
    </row>
    <row r="188" customFormat="false" ht="15.75" hidden="false" customHeight="true" outlineLevel="0" collapsed="false">
      <c r="C188" s="83"/>
      <c r="D188" s="83"/>
    </row>
    <row r="189" customFormat="false" ht="15.75" hidden="false" customHeight="true" outlineLevel="0" collapsed="false">
      <c r="C189" s="83"/>
      <c r="D189" s="83"/>
    </row>
    <row r="190" customFormat="false" ht="15.75" hidden="false" customHeight="true" outlineLevel="0" collapsed="false">
      <c r="C190" s="83"/>
      <c r="D190" s="83"/>
    </row>
    <row r="191" customFormat="false" ht="15.75" hidden="false" customHeight="true" outlineLevel="0" collapsed="false">
      <c r="C191" s="83"/>
      <c r="D191" s="83"/>
    </row>
    <row r="192" customFormat="false" ht="15.75" hidden="false" customHeight="true" outlineLevel="0" collapsed="false">
      <c r="C192" s="83"/>
      <c r="D192" s="83"/>
    </row>
    <row r="193" customFormat="false" ht="15.75" hidden="false" customHeight="true" outlineLevel="0" collapsed="false">
      <c r="C193" s="83"/>
      <c r="D193" s="83"/>
    </row>
    <row r="194" customFormat="false" ht="15.75" hidden="false" customHeight="true" outlineLevel="0" collapsed="false">
      <c r="C194" s="83"/>
      <c r="D194" s="83"/>
    </row>
    <row r="195" customFormat="false" ht="15.75" hidden="false" customHeight="true" outlineLevel="0" collapsed="false">
      <c r="C195" s="83"/>
      <c r="D195" s="83"/>
    </row>
    <row r="196" customFormat="false" ht="15.75" hidden="false" customHeight="true" outlineLevel="0" collapsed="false">
      <c r="C196" s="83"/>
      <c r="D196" s="83"/>
    </row>
    <row r="197" customFormat="false" ht="15.75" hidden="false" customHeight="true" outlineLevel="0" collapsed="false">
      <c r="C197" s="83"/>
      <c r="D197" s="83"/>
    </row>
    <row r="198" customFormat="false" ht="15.75" hidden="false" customHeight="true" outlineLevel="0" collapsed="false">
      <c r="C198" s="83"/>
      <c r="D198" s="83"/>
    </row>
    <row r="199" customFormat="false" ht="15.75" hidden="false" customHeight="true" outlineLevel="0" collapsed="false">
      <c r="C199" s="83"/>
      <c r="D199" s="83"/>
    </row>
    <row r="200" customFormat="false" ht="15.75" hidden="false" customHeight="true" outlineLevel="0" collapsed="false">
      <c r="C200" s="83"/>
      <c r="D200" s="83"/>
    </row>
    <row r="201" customFormat="false" ht="15.75" hidden="false" customHeight="true" outlineLevel="0" collapsed="false">
      <c r="C201" s="83"/>
      <c r="D201" s="83"/>
    </row>
    <row r="202" customFormat="false" ht="15.75" hidden="false" customHeight="true" outlineLevel="0" collapsed="false">
      <c r="C202" s="83"/>
      <c r="D202" s="83"/>
    </row>
    <row r="203" customFormat="false" ht="15.75" hidden="false" customHeight="true" outlineLevel="0" collapsed="false">
      <c r="C203" s="83"/>
      <c r="D203" s="83"/>
    </row>
    <row r="204" customFormat="false" ht="15.75" hidden="false" customHeight="true" outlineLevel="0" collapsed="false">
      <c r="C204" s="83"/>
      <c r="D204" s="83"/>
    </row>
    <row r="205" customFormat="false" ht="15.75" hidden="false" customHeight="true" outlineLevel="0" collapsed="false">
      <c r="C205" s="83"/>
      <c r="D205" s="83"/>
    </row>
    <row r="206" customFormat="false" ht="15.75" hidden="false" customHeight="true" outlineLevel="0" collapsed="false">
      <c r="C206" s="83"/>
      <c r="D206" s="83"/>
    </row>
    <row r="207" customFormat="false" ht="15.75" hidden="false" customHeight="true" outlineLevel="0" collapsed="false">
      <c r="C207" s="83"/>
      <c r="D207" s="83"/>
    </row>
    <row r="208" customFormat="false" ht="15.75" hidden="false" customHeight="true" outlineLevel="0" collapsed="false">
      <c r="C208" s="83"/>
      <c r="D208" s="83"/>
    </row>
    <row r="209" customFormat="false" ht="15.75" hidden="false" customHeight="true" outlineLevel="0" collapsed="false">
      <c r="C209" s="83"/>
      <c r="D209" s="83"/>
    </row>
    <row r="210" customFormat="false" ht="15.75" hidden="false" customHeight="true" outlineLevel="0" collapsed="false">
      <c r="C210" s="83"/>
      <c r="D210" s="83"/>
    </row>
    <row r="211" customFormat="false" ht="15.75" hidden="false" customHeight="true" outlineLevel="0" collapsed="false">
      <c r="C211" s="83"/>
      <c r="D211" s="83"/>
    </row>
    <row r="212" customFormat="false" ht="15.75" hidden="false" customHeight="true" outlineLevel="0" collapsed="false">
      <c r="C212" s="83"/>
      <c r="D212" s="83"/>
    </row>
    <row r="213" customFormat="false" ht="15.75" hidden="false" customHeight="true" outlineLevel="0" collapsed="false">
      <c r="C213" s="83"/>
      <c r="D213" s="83"/>
    </row>
    <row r="214" customFormat="false" ht="15.75" hidden="false" customHeight="true" outlineLevel="0" collapsed="false">
      <c r="C214" s="83"/>
      <c r="D214" s="83"/>
    </row>
    <row r="215" customFormat="false" ht="15.75" hidden="false" customHeight="true" outlineLevel="0" collapsed="false">
      <c r="C215" s="83"/>
      <c r="D215" s="83"/>
    </row>
    <row r="216" customFormat="false" ht="15.75" hidden="false" customHeight="true" outlineLevel="0" collapsed="false">
      <c r="C216" s="83"/>
      <c r="D216" s="83"/>
    </row>
    <row r="217" customFormat="false" ht="15.75" hidden="false" customHeight="true" outlineLevel="0" collapsed="false">
      <c r="C217" s="83"/>
      <c r="D217" s="83"/>
    </row>
    <row r="218" customFormat="false" ht="15.75" hidden="false" customHeight="true" outlineLevel="0" collapsed="false">
      <c r="C218" s="83"/>
      <c r="D218" s="83"/>
    </row>
    <row r="219" customFormat="false" ht="15.75" hidden="false" customHeight="true" outlineLevel="0" collapsed="false">
      <c r="C219" s="83"/>
      <c r="D219" s="83"/>
    </row>
    <row r="220" customFormat="false" ht="15.75" hidden="false" customHeight="true" outlineLevel="0" collapsed="false">
      <c r="C220" s="83"/>
      <c r="D220" s="83"/>
    </row>
    <row r="221" customFormat="false" ht="15.75" hidden="false" customHeight="true" outlineLevel="0" collapsed="false">
      <c r="C221" s="83"/>
      <c r="D221" s="83"/>
    </row>
    <row r="222" customFormat="false" ht="15.75" hidden="false" customHeight="true" outlineLevel="0" collapsed="false">
      <c r="C222" s="83"/>
      <c r="D222" s="83"/>
    </row>
    <row r="223" customFormat="false" ht="15.75" hidden="false" customHeight="true" outlineLevel="0" collapsed="false">
      <c r="C223" s="83"/>
      <c r="D223" s="83"/>
    </row>
    <row r="224" customFormat="false" ht="15.75" hidden="false" customHeight="true" outlineLevel="0" collapsed="false">
      <c r="C224" s="83"/>
      <c r="D224" s="83"/>
    </row>
    <row r="225" customFormat="false" ht="15.75" hidden="false" customHeight="true" outlineLevel="0" collapsed="false">
      <c r="C225" s="83"/>
      <c r="D225" s="83"/>
    </row>
    <row r="226" customFormat="false" ht="15.75" hidden="false" customHeight="true" outlineLevel="0" collapsed="false">
      <c r="C226" s="83"/>
      <c r="D226" s="83"/>
    </row>
    <row r="227" customFormat="false" ht="15.75" hidden="false" customHeight="true" outlineLevel="0" collapsed="false">
      <c r="C227" s="83"/>
      <c r="D227" s="83"/>
    </row>
    <row r="228" customFormat="false" ht="15.75" hidden="false" customHeight="true" outlineLevel="0" collapsed="false">
      <c r="C228" s="83"/>
      <c r="D228" s="83"/>
    </row>
    <row r="229" customFormat="false" ht="15.75" hidden="false" customHeight="true" outlineLevel="0" collapsed="false">
      <c r="C229" s="83"/>
      <c r="D229" s="83"/>
    </row>
    <row r="230" customFormat="false" ht="15.75" hidden="false" customHeight="true" outlineLevel="0" collapsed="false">
      <c r="C230" s="83"/>
      <c r="D230" s="83"/>
    </row>
    <row r="231" customFormat="false" ht="15.75" hidden="false" customHeight="true" outlineLevel="0" collapsed="false">
      <c r="C231" s="83"/>
      <c r="D231" s="83"/>
    </row>
    <row r="232" customFormat="false" ht="15.75" hidden="false" customHeight="true" outlineLevel="0" collapsed="false">
      <c r="C232" s="83"/>
      <c r="D232" s="83"/>
    </row>
    <row r="233" customFormat="false" ht="15.75" hidden="false" customHeight="true" outlineLevel="0" collapsed="false">
      <c r="C233" s="83"/>
      <c r="D233" s="83"/>
    </row>
    <row r="234" customFormat="false" ht="15.75" hidden="false" customHeight="true" outlineLevel="0" collapsed="false">
      <c r="C234" s="83"/>
      <c r="D234" s="83"/>
    </row>
    <row r="235" customFormat="false" ht="15.75" hidden="false" customHeight="true" outlineLevel="0" collapsed="false">
      <c r="C235" s="83"/>
      <c r="D235" s="83"/>
    </row>
    <row r="236" customFormat="false" ht="15.75" hidden="false" customHeight="true" outlineLevel="0" collapsed="false">
      <c r="C236" s="83"/>
      <c r="D236" s="83"/>
    </row>
    <row r="237" customFormat="false" ht="15.75" hidden="false" customHeight="true" outlineLevel="0" collapsed="false">
      <c r="C237" s="83"/>
      <c r="D237" s="83"/>
    </row>
    <row r="238" customFormat="false" ht="15.75" hidden="false" customHeight="true" outlineLevel="0" collapsed="false">
      <c r="C238" s="83"/>
      <c r="D238" s="83"/>
    </row>
    <row r="239" customFormat="false" ht="15.75" hidden="false" customHeight="true" outlineLevel="0" collapsed="false">
      <c r="C239" s="83"/>
      <c r="D239" s="83"/>
    </row>
    <row r="240" customFormat="false" ht="15.75" hidden="false" customHeight="true" outlineLevel="0" collapsed="false">
      <c r="C240" s="83"/>
      <c r="D240" s="83"/>
    </row>
    <row r="241" customFormat="false" ht="15.75" hidden="false" customHeight="true" outlineLevel="0" collapsed="false">
      <c r="C241" s="83"/>
      <c r="D241" s="83"/>
    </row>
    <row r="242" customFormat="false" ht="15.75" hidden="false" customHeight="true" outlineLevel="0" collapsed="false">
      <c r="C242" s="83"/>
      <c r="D242" s="83"/>
    </row>
    <row r="243" customFormat="false" ht="15.75" hidden="false" customHeight="true" outlineLevel="0" collapsed="false">
      <c r="C243" s="83"/>
      <c r="D243" s="83"/>
    </row>
    <row r="244" customFormat="false" ht="15.75" hidden="false" customHeight="true" outlineLevel="0" collapsed="false">
      <c r="C244" s="83"/>
      <c r="D244" s="83"/>
    </row>
    <row r="245" customFormat="false" ht="15.75" hidden="false" customHeight="true" outlineLevel="0" collapsed="false">
      <c r="C245" s="83"/>
      <c r="D245" s="83"/>
    </row>
    <row r="246" customFormat="false" ht="15.75" hidden="false" customHeight="true" outlineLevel="0" collapsed="false">
      <c r="C246" s="83"/>
      <c r="D246" s="83"/>
    </row>
    <row r="247" customFormat="false" ht="15.75" hidden="false" customHeight="true" outlineLevel="0" collapsed="false">
      <c r="C247" s="83"/>
      <c r="D247" s="83"/>
    </row>
    <row r="248" customFormat="false" ht="15.75" hidden="false" customHeight="true" outlineLevel="0" collapsed="false">
      <c r="C248" s="83"/>
      <c r="D248" s="83"/>
    </row>
    <row r="249" customFormat="false" ht="15.75" hidden="false" customHeight="true" outlineLevel="0" collapsed="false">
      <c r="C249" s="83"/>
      <c r="D249" s="83"/>
    </row>
    <row r="250" customFormat="false" ht="15.75" hidden="false" customHeight="true" outlineLevel="0" collapsed="false">
      <c r="C250" s="83"/>
      <c r="D250" s="83"/>
    </row>
    <row r="251" customFormat="false" ht="15.75" hidden="false" customHeight="true" outlineLevel="0" collapsed="false">
      <c r="C251" s="83"/>
      <c r="D251" s="83"/>
    </row>
    <row r="252" customFormat="false" ht="15.75" hidden="false" customHeight="true" outlineLevel="0" collapsed="false">
      <c r="C252" s="83"/>
      <c r="D252" s="83"/>
    </row>
    <row r="253" customFormat="false" ht="15.75" hidden="false" customHeight="true" outlineLevel="0" collapsed="false">
      <c r="C253" s="83"/>
      <c r="D253" s="83"/>
    </row>
    <row r="254" customFormat="false" ht="15.75" hidden="false" customHeight="true" outlineLevel="0" collapsed="false">
      <c r="C254" s="83"/>
      <c r="D254" s="83"/>
    </row>
    <row r="255" customFormat="false" ht="15.75" hidden="false" customHeight="true" outlineLevel="0" collapsed="false">
      <c r="C255" s="83"/>
      <c r="D255" s="83"/>
    </row>
    <row r="256" customFormat="false" ht="15.75" hidden="false" customHeight="true" outlineLevel="0" collapsed="false">
      <c r="C256" s="83"/>
      <c r="D256" s="83"/>
    </row>
    <row r="257" customFormat="false" ht="15.75" hidden="false" customHeight="true" outlineLevel="0" collapsed="false">
      <c r="C257" s="83"/>
      <c r="D257" s="83"/>
    </row>
    <row r="258" customFormat="false" ht="15.75" hidden="false" customHeight="true" outlineLevel="0" collapsed="false">
      <c r="C258" s="83"/>
      <c r="D258" s="83"/>
    </row>
    <row r="259" customFormat="false" ht="15.75" hidden="false" customHeight="true" outlineLevel="0" collapsed="false">
      <c r="C259" s="83"/>
      <c r="D259" s="83"/>
    </row>
    <row r="260" customFormat="false" ht="15.75" hidden="false" customHeight="true" outlineLevel="0" collapsed="false">
      <c r="C260" s="83"/>
      <c r="D260" s="83"/>
    </row>
    <row r="261" customFormat="false" ht="15.75" hidden="false" customHeight="true" outlineLevel="0" collapsed="false">
      <c r="C261" s="83"/>
      <c r="D261" s="83"/>
    </row>
    <row r="262" customFormat="false" ht="15.75" hidden="false" customHeight="true" outlineLevel="0" collapsed="false">
      <c r="C262" s="83"/>
      <c r="D262" s="83"/>
    </row>
    <row r="263" customFormat="false" ht="15.75" hidden="false" customHeight="true" outlineLevel="0" collapsed="false">
      <c r="C263" s="83"/>
      <c r="D263" s="83"/>
    </row>
    <row r="264" customFormat="false" ht="15.75" hidden="false" customHeight="true" outlineLevel="0" collapsed="false">
      <c r="C264" s="83"/>
      <c r="D264" s="83"/>
    </row>
    <row r="265" customFormat="false" ht="15.75" hidden="false" customHeight="true" outlineLevel="0" collapsed="false">
      <c r="C265" s="83"/>
      <c r="D265" s="83"/>
    </row>
    <row r="266" customFormat="false" ht="15.75" hidden="false" customHeight="true" outlineLevel="0" collapsed="false">
      <c r="C266" s="83"/>
      <c r="D266" s="83"/>
    </row>
    <row r="267" customFormat="false" ht="15.75" hidden="false" customHeight="true" outlineLevel="0" collapsed="false">
      <c r="C267" s="83"/>
      <c r="D267" s="83"/>
    </row>
    <row r="268" customFormat="false" ht="15.75" hidden="false" customHeight="true" outlineLevel="0" collapsed="false">
      <c r="C268" s="83"/>
      <c r="D268" s="83"/>
    </row>
    <row r="269" customFormat="false" ht="15.75" hidden="false" customHeight="true" outlineLevel="0" collapsed="false">
      <c r="C269" s="83"/>
      <c r="D269" s="83"/>
    </row>
    <row r="270" customFormat="false" ht="15.75" hidden="false" customHeight="true" outlineLevel="0" collapsed="false">
      <c r="C270" s="83"/>
      <c r="D270" s="83"/>
    </row>
    <row r="271" customFormat="false" ht="15.75" hidden="false" customHeight="true" outlineLevel="0" collapsed="false">
      <c r="C271" s="83"/>
      <c r="D271" s="83"/>
    </row>
    <row r="272" customFormat="false" ht="15.75" hidden="false" customHeight="true" outlineLevel="0" collapsed="false">
      <c r="C272" s="83"/>
      <c r="D272" s="83"/>
    </row>
    <row r="273" customFormat="false" ht="15.75" hidden="false" customHeight="true" outlineLevel="0" collapsed="false">
      <c r="C273" s="83"/>
      <c r="D273" s="83"/>
    </row>
    <row r="274" customFormat="false" ht="15.75" hidden="false" customHeight="true" outlineLevel="0" collapsed="false">
      <c r="C274" s="83"/>
      <c r="D274" s="83"/>
    </row>
    <row r="275" customFormat="false" ht="15.75" hidden="false" customHeight="true" outlineLevel="0" collapsed="false">
      <c r="C275" s="83"/>
      <c r="D275" s="83"/>
    </row>
    <row r="276" customFormat="false" ht="15.75" hidden="false" customHeight="true" outlineLevel="0" collapsed="false">
      <c r="C276" s="83"/>
      <c r="D276" s="83"/>
    </row>
    <row r="277" customFormat="false" ht="15.75" hidden="false" customHeight="true" outlineLevel="0" collapsed="false">
      <c r="C277" s="83"/>
      <c r="D277" s="83"/>
    </row>
    <row r="278" customFormat="false" ht="15.75" hidden="false" customHeight="true" outlineLevel="0" collapsed="false">
      <c r="C278" s="83"/>
      <c r="D278" s="83"/>
    </row>
    <row r="279" customFormat="false" ht="15.75" hidden="false" customHeight="true" outlineLevel="0" collapsed="false">
      <c r="C279" s="83"/>
      <c r="D279" s="83"/>
    </row>
    <row r="280" customFormat="false" ht="15.75" hidden="false" customHeight="true" outlineLevel="0" collapsed="false">
      <c r="C280" s="83"/>
      <c r="D280" s="83"/>
    </row>
    <row r="281" customFormat="false" ht="15.75" hidden="false" customHeight="true" outlineLevel="0" collapsed="false">
      <c r="C281" s="83"/>
      <c r="D281" s="83"/>
    </row>
    <row r="282" customFormat="false" ht="15.75" hidden="false" customHeight="true" outlineLevel="0" collapsed="false">
      <c r="C282" s="83"/>
      <c r="D282" s="83"/>
    </row>
    <row r="283" customFormat="false" ht="15.75" hidden="false" customHeight="true" outlineLevel="0" collapsed="false">
      <c r="C283" s="83"/>
      <c r="D283" s="83"/>
    </row>
    <row r="284" customFormat="false" ht="15.75" hidden="false" customHeight="true" outlineLevel="0" collapsed="false">
      <c r="C284" s="83"/>
      <c r="D284" s="83"/>
    </row>
    <row r="285" customFormat="false" ht="15.75" hidden="false" customHeight="true" outlineLevel="0" collapsed="false">
      <c r="C285" s="83"/>
      <c r="D285" s="83"/>
    </row>
    <row r="286" customFormat="false" ht="15.75" hidden="false" customHeight="true" outlineLevel="0" collapsed="false">
      <c r="C286" s="83"/>
      <c r="D286" s="83"/>
    </row>
    <row r="287" customFormat="false" ht="15.75" hidden="false" customHeight="true" outlineLevel="0" collapsed="false">
      <c r="C287" s="83"/>
      <c r="D287" s="83"/>
    </row>
    <row r="288" customFormat="false" ht="15.75" hidden="false" customHeight="true" outlineLevel="0" collapsed="false">
      <c r="C288" s="83"/>
      <c r="D288" s="83"/>
    </row>
    <row r="289" customFormat="false" ht="15.75" hidden="false" customHeight="true" outlineLevel="0" collapsed="false">
      <c r="C289" s="83"/>
      <c r="D289" s="83"/>
    </row>
    <row r="290" customFormat="false" ht="15.75" hidden="false" customHeight="true" outlineLevel="0" collapsed="false">
      <c r="C290" s="83"/>
      <c r="D290" s="83"/>
    </row>
    <row r="291" customFormat="false" ht="15.75" hidden="false" customHeight="true" outlineLevel="0" collapsed="false">
      <c r="C291" s="83"/>
      <c r="D291" s="83"/>
    </row>
    <row r="292" customFormat="false" ht="15.75" hidden="false" customHeight="true" outlineLevel="0" collapsed="false">
      <c r="C292" s="83"/>
      <c r="D292" s="83"/>
    </row>
    <row r="293" customFormat="false" ht="15.75" hidden="false" customHeight="true" outlineLevel="0" collapsed="false">
      <c r="C293" s="83"/>
      <c r="D293" s="83"/>
    </row>
    <row r="294" customFormat="false" ht="15.75" hidden="false" customHeight="true" outlineLevel="0" collapsed="false">
      <c r="C294" s="83"/>
      <c r="D294" s="83"/>
    </row>
    <row r="295" customFormat="false" ht="15.75" hidden="false" customHeight="true" outlineLevel="0" collapsed="false">
      <c r="C295" s="83"/>
      <c r="D295" s="83"/>
    </row>
    <row r="296" customFormat="false" ht="15.75" hidden="false" customHeight="true" outlineLevel="0" collapsed="false">
      <c r="C296" s="83"/>
      <c r="D296" s="83"/>
    </row>
    <row r="297" customFormat="false" ht="15.75" hidden="false" customHeight="true" outlineLevel="0" collapsed="false">
      <c r="C297" s="83"/>
      <c r="D297" s="83"/>
    </row>
    <row r="298" customFormat="false" ht="15.75" hidden="false" customHeight="true" outlineLevel="0" collapsed="false">
      <c r="C298" s="83"/>
      <c r="D298" s="83"/>
    </row>
    <row r="299" customFormat="false" ht="15.75" hidden="false" customHeight="true" outlineLevel="0" collapsed="false">
      <c r="C299" s="83"/>
      <c r="D299" s="83"/>
    </row>
    <row r="300" customFormat="false" ht="15.75" hidden="false" customHeight="true" outlineLevel="0" collapsed="false">
      <c r="C300" s="83"/>
      <c r="D300" s="83"/>
    </row>
    <row r="301" customFormat="false" ht="15.75" hidden="false" customHeight="true" outlineLevel="0" collapsed="false">
      <c r="C301" s="83"/>
      <c r="D301" s="83"/>
    </row>
    <row r="302" customFormat="false" ht="15.75" hidden="false" customHeight="true" outlineLevel="0" collapsed="false">
      <c r="C302" s="83"/>
      <c r="D302" s="83"/>
    </row>
    <row r="303" customFormat="false" ht="15.75" hidden="false" customHeight="true" outlineLevel="0" collapsed="false">
      <c r="C303" s="83"/>
      <c r="D303" s="83"/>
    </row>
    <row r="304" customFormat="false" ht="15.75" hidden="false" customHeight="true" outlineLevel="0" collapsed="false">
      <c r="C304" s="83"/>
      <c r="D304" s="83"/>
    </row>
    <row r="305" customFormat="false" ht="15.75" hidden="false" customHeight="true" outlineLevel="0" collapsed="false">
      <c r="C305" s="83"/>
      <c r="D305" s="83"/>
    </row>
    <row r="306" customFormat="false" ht="15.75" hidden="false" customHeight="true" outlineLevel="0" collapsed="false">
      <c r="C306" s="83"/>
      <c r="D306" s="83"/>
    </row>
    <row r="307" customFormat="false" ht="15.75" hidden="false" customHeight="true" outlineLevel="0" collapsed="false">
      <c r="C307" s="83"/>
      <c r="D307" s="83"/>
    </row>
    <row r="308" customFormat="false" ht="15.75" hidden="false" customHeight="true" outlineLevel="0" collapsed="false">
      <c r="C308" s="83"/>
      <c r="D308" s="83"/>
    </row>
    <row r="309" customFormat="false" ht="15.75" hidden="false" customHeight="true" outlineLevel="0" collapsed="false">
      <c r="C309" s="83"/>
      <c r="D309" s="83"/>
    </row>
    <row r="310" customFormat="false" ht="15.75" hidden="false" customHeight="true" outlineLevel="0" collapsed="false">
      <c r="C310" s="83"/>
      <c r="D310" s="83"/>
    </row>
    <row r="311" customFormat="false" ht="15.75" hidden="false" customHeight="true" outlineLevel="0" collapsed="false">
      <c r="C311" s="83"/>
      <c r="D311" s="83"/>
    </row>
    <row r="312" customFormat="false" ht="15.75" hidden="false" customHeight="true" outlineLevel="0" collapsed="false">
      <c r="C312" s="83"/>
      <c r="D312" s="83"/>
    </row>
    <row r="313" customFormat="false" ht="15.75" hidden="false" customHeight="true" outlineLevel="0" collapsed="false">
      <c r="C313" s="83"/>
      <c r="D313" s="83"/>
    </row>
    <row r="314" customFormat="false" ht="15.75" hidden="false" customHeight="true" outlineLevel="0" collapsed="false">
      <c r="C314" s="83"/>
      <c r="D314" s="83"/>
    </row>
    <row r="315" customFormat="false" ht="15.75" hidden="false" customHeight="true" outlineLevel="0" collapsed="false">
      <c r="C315" s="83"/>
      <c r="D315" s="83"/>
    </row>
    <row r="316" customFormat="false" ht="15.75" hidden="false" customHeight="true" outlineLevel="0" collapsed="false">
      <c r="C316" s="83"/>
      <c r="D316" s="83"/>
    </row>
    <row r="317" customFormat="false" ht="15.75" hidden="false" customHeight="true" outlineLevel="0" collapsed="false">
      <c r="C317" s="83"/>
      <c r="D317" s="83"/>
    </row>
    <row r="318" customFormat="false" ht="15.75" hidden="false" customHeight="true" outlineLevel="0" collapsed="false">
      <c r="C318" s="83"/>
      <c r="D318" s="83"/>
    </row>
    <row r="319" customFormat="false" ht="15.75" hidden="false" customHeight="true" outlineLevel="0" collapsed="false">
      <c r="C319" s="83"/>
      <c r="D319" s="83"/>
    </row>
    <row r="320" customFormat="false" ht="15.75" hidden="false" customHeight="true" outlineLevel="0" collapsed="false">
      <c r="C320" s="83"/>
      <c r="D320" s="83"/>
    </row>
    <row r="321" customFormat="false" ht="15.75" hidden="false" customHeight="true" outlineLevel="0" collapsed="false">
      <c r="C321" s="83"/>
      <c r="D321" s="83"/>
    </row>
    <row r="322" customFormat="false" ht="15.75" hidden="false" customHeight="true" outlineLevel="0" collapsed="false">
      <c r="C322" s="83"/>
      <c r="D322" s="83"/>
    </row>
    <row r="323" customFormat="false" ht="15.75" hidden="false" customHeight="true" outlineLevel="0" collapsed="false">
      <c r="C323" s="83"/>
      <c r="D323" s="83"/>
    </row>
    <row r="324" customFormat="false" ht="15.75" hidden="false" customHeight="true" outlineLevel="0" collapsed="false">
      <c r="C324" s="83"/>
      <c r="D324" s="83"/>
    </row>
    <row r="325" customFormat="false" ht="15.75" hidden="false" customHeight="true" outlineLevel="0" collapsed="false">
      <c r="C325" s="83"/>
      <c r="D325" s="83"/>
    </row>
    <row r="326" customFormat="false" ht="15.75" hidden="false" customHeight="true" outlineLevel="0" collapsed="false">
      <c r="C326" s="83"/>
      <c r="D326" s="83"/>
    </row>
    <row r="327" customFormat="false" ht="15.75" hidden="false" customHeight="true" outlineLevel="0" collapsed="false">
      <c r="C327" s="83"/>
      <c r="D327" s="83"/>
    </row>
    <row r="328" customFormat="false" ht="15.75" hidden="false" customHeight="true" outlineLevel="0" collapsed="false">
      <c r="C328" s="83"/>
      <c r="D328" s="83"/>
    </row>
    <row r="329" customFormat="false" ht="15.75" hidden="false" customHeight="true" outlineLevel="0" collapsed="false">
      <c r="C329" s="83"/>
      <c r="D329" s="83"/>
    </row>
    <row r="330" customFormat="false" ht="15.75" hidden="false" customHeight="true" outlineLevel="0" collapsed="false">
      <c r="C330" s="83"/>
      <c r="D330" s="83"/>
    </row>
    <row r="331" customFormat="false" ht="15.75" hidden="false" customHeight="true" outlineLevel="0" collapsed="false">
      <c r="C331" s="83"/>
      <c r="D331" s="83"/>
    </row>
    <row r="332" customFormat="false" ht="15.75" hidden="false" customHeight="true" outlineLevel="0" collapsed="false">
      <c r="C332" s="83"/>
      <c r="D332" s="83"/>
    </row>
    <row r="333" customFormat="false" ht="15.75" hidden="false" customHeight="true" outlineLevel="0" collapsed="false">
      <c r="C333" s="83"/>
      <c r="D333" s="83"/>
    </row>
    <row r="334" customFormat="false" ht="15.75" hidden="false" customHeight="true" outlineLevel="0" collapsed="false">
      <c r="C334" s="83"/>
      <c r="D334" s="83"/>
    </row>
    <row r="335" customFormat="false" ht="15.75" hidden="false" customHeight="true" outlineLevel="0" collapsed="false">
      <c r="C335" s="83"/>
      <c r="D335" s="83"/>
    </row>
    <row r="336" customFormat="false" ht="15.75" hidden="false" customHeight="true" outlineLevel="0" collapsed="false">
      <c r="C336" s="83"/>
      <c r="D336" s="83"/>
    </row>
    <row r="337" customFormat="false" ht="15.75" hidden="false" customHeight="true" outlineLevel="0" collapsed="false">
      <c r="C337" s="83"/>
      <c r="D337" s="83"/>
    </row>
    <row r="338" customFormat="false" ht="15.75" hidden="false" customHeight="true" outlineLevel="0" collapsed="false">
      <c r="C338" s="83"/>
      <c r="D338" s="83"/>
    </row>
    <row r="339" customFormat="false" ht="15.75" hidden="false" customHeight="true" outlineLevel="0" collapsed="false">
      <c r="C339" s="83"/>
      <c r="D339" s="83"/>
    </row>
    <row r="340" customFormat="false" ht="15.75" hidden="false" customHeight="true" outlineLevel="0" collapsed="false">
      <c r="C340" s="83"/>
      <c r="D340" s="83"/>
    </row>
    <row r="341" customFormat="false" ht="15.75" hidden="false" customHeight="true" outlineLevel="0" collapsed="false">
      <c r="C341" s="83"/>
      <c r="D341" s="83"/>
    </row>
    <row r="342" customFormat="false" ht="15.75" hidden="false" customHeight="true" outlineLevel="0" collapsed="false">
      <c r="C342" s="83"/>
      <c r="D342" s="83"/>
    </row>
    <row r="343" customFormat="false" ht="15.75" hidden="false" customHeight="true" outlineLevel="0" collapsed="false">
      <c r="C343" s="83"/>
      <c r="D343" s="83"/>
    </row>
    <row r="344" customFormat="false" ht="15.75" hidden="false" customHeight="true" outlineLevel="0" collapsed="false">
      <c r="C344" s="83"/>
      <c r="D344" s="83"/>
    </row>
    <row r="345" customFormat="false" ht="15.75" hidden="false" customHeight="true" outlineLevel="0" collapsed="false">
      <c r="C345" s="83"/>
      <c r="D345" s="83"/>
    </row>
    <row r="346" customFormat="false" ht="15.75" hidden="false" customHeight="true" outlineLevel="0" collapsed="false">
      <c r="C346" s="83"/>
      <c r="D346" s="83"/>
    </row>
    <row r="347" customFormat="false" ht="15.75" hidden="false" customHeight="true" outlineLevel="0" collapsed="false">
      <c r="C347" s="83"/>
      <c r="D347" s="83"/>
    </row>
    <row r="348" customFormat="false" ht="15.75" hidden="false" customHeight="true" outlineLevel="0" collapsed="false">
      <c r="C348" s="83"/>
      <c r="D348" s="83"/>
    </row>
    <row r="349" customFormat="false" ht="15.75" hidden="false" customHeight="true" outlineLevel="0" collapsed="false">
      <c r="C349" s="83"/>
      <c r="D349" s="83"/>
    </row>
    <row r="350" customFormat="false" ht="15.75" hidden="false" customHeight="true" outlineLevel="0" collapsed="false">
      <c r="C350" s="83"/>
      <c r="D350" s="83"/>
    </row>
    <row r="351" customFormat="false" ht="15.75" hidden="false" customHeight="true" outlineLevel="0" collapsed="false">
      <c r="C351" s="83"/>
      <c r="D351" s="83"/>
    </row>
    <row r="352" customFormat="false" ht="15.75" hidden="false" customHeight="true" outlineLevel="0" collapsed="false">
      <c r="C352" s="83"/>
      <c r="D352" s="83"/>
    </row>
    <row r="353" customFormat="false" ht="15.75" hidden="false" customHeight="true" outlineLevel="0" collapsed="false">
      <c r="C353" s="83"/>
      <c r="D353" s="83"/>
    </row>
    <row r="354" customFormat="false" ht="15.75" hidden="false" customHeight="true" outlineLevel="0" collapsed="false">
      <c r="C354" s="83"/>
      <c r="D354" s="83"/>
    </row>
    <row r="355" customFormat="false" ht="15.75" hidden="false" customHeight="true" outlineLevel="0" collapsed="false">
      <c r="C355" s="83"/>
      <c r="D355" s="83"/>
    </row>
    <row r="356" customFormat="false" ht="15.75" hidden="false" customHeight="true" outlineLevel="0" collapsed="false">
      <c r="C356" s="83"/>
      <c r="D356" s="83"/>
    </row>
    <row r="357" customFormat="false" ht="15.75" hidden="false" customHeight="true" outlineLevel="0" collapsed="false">
      <c r="C357" s="83"/>
      <c r="D357" s="83"/>
    </row>
    <row r="358" customFormat="false" ht="15.75" hidden="false" customHeight="true" outlineLevel="0" collapsed="false">
      <c r="C358" s="83"/>
      <c r="D358" s="83"/>
    </row>
    <row r="359" customFormat="false" ht="15.75" hidden="false" customHeight="true" outlineLevel="0" collapsed="false">
      <c r="C359" s="83"/>
      <c r="D359" s="83"/>
    </row>
    <row r="360" customFormat="false" ht="15.75" hidden="false" customHeight="true" outlineLevel="0" collapsed="false">
      <c r="C360" s="83"/>
      <c r="D360" s="83"/>
    </row>
    <row r="361" customFormat="false" ht="15.75" hidden="false" customHeight="true" outlineLevel="0" collapsed="false">
      <c r="C361" s="83"/>
      <c r="D361" s="83"/>
    </row>
    <row r="362" customFormat="false" ht="15.75" hidden="false" customHeight="true" outlineLevel="0" collapsed="false">
      <c r="C362" s="83"/>
      <c r="D362" s="83"/>
    </row>
    <row r="363" customFormat="false" ht="15.75" hidden="false" customHeight="true" outlineLevel="0" collapsed="false">
      <c r="C363" s="83"/>
      <c r="D363" s="83"/>
    </row>
    <row r="364" customFormat="false" ht="15.75" hidden="false" customHeight="true" outlineLevel="0" collapsed="false">
      <c r="C364" s="83"/>
      <c r="D364" s="83"/>
    </row>
    <row r="365" customFormat="false" ht="15.75" hidden="false" customHeight="true" outlineLevel="0" collapsed="false">
      <c r="C365" s="83"/>
      <c r="D365" s="83"/>
    </row>
    <row r="366" customFormat="false" ht="15.75" hidden="false" customHeight="true" outlineLevel="0" collapsed="false">
      <c r="C366" s="83"/>
      <c r="D366" s="83"/>
    </row>
    <row r="367" customFormat="false" ht="15.75" hidden="false" customHeight="true" outlineLevel="0" collapsed="false">
      <c r="C367" s="83"/>
      <c r="D367" s="83"/>
    </row>
    <row r="368" customFormat="false" ht="15.75" hidden="false" customHeight="true" outlineLevel="0" collapsed="false">
      <c r="C368" s="83"/>
      <c r="D368" s="83"/>
    </row>
    <row r="369" customFormat="false" ht="15.75" hidden="false" customHeight="true" outlineLevel="0" collapsed="false">
      <c r="C369" s="83"/>
      <c r="D369" s="83"/>
    </row>
    <row r="370" customFormat="false" ht="15.75" hidden="false" customHeight="true" outlineLevel="0" collapsed="false">
      <c r="C370" s="83"/>
      <c r="D370" s="83"/>
    </row>
    <row r="371" customFormat="false" ht="15.75" hidden="false" customHeight="true" outlineLevel="0" collapsed="false">
      <c r="C371" s="83"/>
      <c r="D371" s="83"/>
    </row>
    <row r="372" customFormat="false" ht="15.75" hidden="false" customHeight="true" outlineLevel="0" collapsed="false">
      <c r="C372" s="83"/>
      <c r="D372" s="83"/>
    </row>
    <row r="373" customFormat="false" ht="15.75" hidden="false" customHeight="true" outlineLevel="0" collapsed="false">
      <c r="C373" s="83"/>
      <c r="D373" s="83"/>
    </row>
    <row r="374" customFormat="false" ht="15.75" hidden="false" customHeight="true" outlineLevel="0" collapsed="false">
      <c r="C374" s="83"/>
      <c r="D374" s="83"/>
    </row>
    <row r="375" customFormat="false" ht="15.75" hidden="false" customHeight="true" outlineLevel="0" collapsed="false">
      <c r="C375" s="83"/>
      <c r="D375" s="83"/>
    </row>
    <row r="376" customFormat="false" ht="15.75" hidden="false" customHeight="true" outlineLevel="0" collapsed="false">
      <c r="C376" s="83"/>
      <c r="D376" s="83"/>
    </row>
    <row r="377" customFormat="false" ht="15.75" hidden="false" customHeight="true" outlineLevel="0" collapsed="false">
      <c r="C377" s="83"/>
      <c r="D377" s="83"/>
    </row>
    <row r="378" customFormat="false" ht="15.75" hidden="false" customHeight="true" outlineLevel="0" collapsed="false">
      <c r="C378" s="83"/>
      <c r="D378" s="83"/>
    </row>
    <row r="379" customFormat="false" ht="15.75" hidden="false" customHeight="true" outlineLevel="0" collapsed="false">
      <c r="C379" s="83"/>
      <c r="D379" s="83"/>
    </row>
    <row r="380" customFormat="false" ht="15.75" hidden="false" customHeight="true" outlineLevel="0" collapsed="false">
      <c r="C380" s="83"/>
      <c r="D380" s="83"/>
    </row>
    <row r="381" customFormat="false" ht="15.75" hidden="false" customHeight="true" outlineLevel="0" collapsed="false">
      <c r="C381" s="83"/>
      <c r="D381" s="83"/>
    </row>
    <row r="382" customFormat="false" ht="15.75" hidden="false" customHeight="true" outlineLevel="0" collapsed="false">
      <c r="C382" s="83"/>
      <c r="D382" s="83"/>
    </row>
    <row r="383" customFormat="false" ht="15.75" hidden="false" customHeight="true" outlineLevel="0" collapsed="false">
      <c r="C383" s="83"/>
      <c r="D383" s="83"/>
    </row>
    <row r="384" customFormat="false" ht="15.75" hidden="false" customHeight="true" outlineLevel="0" collapsed="false">
      <c r="C384" s="83"/>
      <c r="D384" s="83"/>
    </row>
    <row r="385" customFormat="false" ht="15.75" hidden="false" customHeight="true" outlineLevel="0" collapsed="false">
      <c r="C385" s="83"/>
      <c r="D385" s="83"/>
    </row>
    <row r="386" customFormat="false" ht="15.75" hidden="false" customHeight="true" outlineLevel="0" collapsed="false">
      <c r="C386" s="83"/>
      <c r="D386" s="83"/>
    </row>
    <row r="387" customFormat="false" ht="15.75" hidden="false" customHeight="true" outlineLevel="0" collapsed="false">
      <c r="C387" s="83"/>
      <c r="D387" s="83"/>
    </row>
    <row r="388" customFormat="false" ht="15.75" hidden="false" customHeight="true" outlineLevel="0" collapsed="false">
      <c r="C388" s="83"/>
      <c r="D388" s="83"/>
    </row>
    <row r="389" customFormat="false" ht="15.75" hidden="false" customHeight="true" outlineLevel="0" collapsed="false">
      <c r="C389" s="83"/>
      <c r="D389" s="83"/>
    </row>
    <row r="390" customFormat="false" ht="15.75" hidden="false" customHeight="true" outlineLevel="0" collapsed="false">
      <c r="C390" s="83"/>
      <c r="D390" s="83"/>
    </row>
    <row r="391" customFormat="false" ht="15.75" hidden="false" customHeight="true" outlineLevel="0" collapsed="false">
      <c r="C391" s="83"/>
      <c r="D391" s="83"/>
    </row>
    <row r="392" customFormat="false" ht="15.75" hidden="false" customHeight="true" outlineLevel="0" collapsed="false">
      <c r="C392" s="83"/>
      <c r="D392" s="83"/>
    </row>
    <row r="393" customFormat="false" ht="15.75" hidden="false" customHeight="true" outlineLevel="0" collapsed="false">
      <c r="C393" s="83"/>
      <c r="D393" s="83"/>
    </row>
    <row r="394" customFormat="false" ht="15.75" hidden="false" customHeight="true" outlineLevel="0" collapsed="false">
      <c r="C394" s="83"/>
      <c r="D394" s="83"/>
    </row>
    <row r="395" customFormat="false" ht="15.75" hidden="false" customHeight="true" outlineLevel="0" collapsed="false">
      <c r="C395" s="83"/>
      <c r="D395" s="83"/>
    </row>
    <row r="396" customFormat="false" ht="15.75" hidden="false" customHeight="true" outlineLevel="0" collapsed="false">
      <c r="C396" s="83"/>
      <c r="D396" s="83"/>
    </row>
    <row r="397" customFormat="false" ht="15.75" hidden="false" customHeight="true" outlineLevel="0" collapsed="false">
      <c r="C397" s="83"/>
      <c r="D397" s="83"/>
    </row>
    <row r="398" customFormat="false" ht="15.75" hidden="false" customHeight="true" outlineLevel="0" collapsed="false">
      <c r="C398" s="83"/>
      <c r="D398" s="83"/>
    </row>
    <row r="399" customFormat="false" ht="15.75" hidden="false" customHeight="true" outlineLevel="0" collapsed="false">
      <c r="C399" s="83"/>
      <c r="D399" s="83"/>
    </row>
    <row r="400" customFormat="false" ht="15.75" hidden="false" customHeight="true" outlineLevel="0" collapsed="false">
      <c r="C400" s="83"/>
      <c r="D400" s="83"/>
    </row>
    <row r="401" customFormat="false" ht="15.75" hidden="false" customHeight="true" outlineLevel="0" collapsed="false">
      <c r="C401" s="83"/>
      <c r="D401" s="83"/>
    </row>
    <row r="402" customFormat="false" ht="15.75" hidden="false" customHeight="true" outlineLevel="0" collapsed="false">
      <c r="C402" s="83"/>
      <c r="D402" s="83"/>
    </row>
    <row r="403" customFormat="false" ht="15.75" hidden="false" customHeight="true" outlineLevel="0" collapsed="false">
      <c r="C403" s="83"/>
      <c r="D403" s="83"/>
    </row>
    <row r="404" customFormat="false" ht="15.75" hidden="false" customHeight="true" outlineLevel="0" collapsed="false">
      <c r="C404" s="83"/>
      <c r="D404" s="83"/>
    </row>
    <row r="405" customFormat="false" ht="15.75" hidden="false" customHeight="true" outlineLevel="0" collapsed="false">
      <c r="C405" s="83"/>
      <c r="D405" s="83"/>
    </row>
    <row r="406" customFormat="false" ht="15.75" hidden="false" customHeight="true" outlineLevel="0" collapsed="false">
      <c r="C406" s="83"/>
      <c r="D406" s="83"/>
    </row>
    <row r="407" customFormat="false" ht="15.75" hidden="false" customHeight="true" outlineLevel="0" collapsed="false">
      <c r="C407" s="83"/>
      <c r="D407" s="83"/>
    </row>
    <row r="408" customFormat="false" ht="15.75" hidden="false" customHeight="true" outlineLevel="0" collapsed="false">
      <c r="C408" s="83"/>
      <c r="D408" s="83"/>
    </row>
    <row r="409" customFormat="false" ht="15.75" hidden="false" customHeight="true" outlineLevel="0" collapsed="false">
      <c r="C409" s="83"/>
      <c r="D409" s="83"/>
    </row>
    <row r="410" customFormat="false" ht="15.75" hidden="false" customHeight="true" outlineLevel="0" collapsed="false">
      <c r="C410" s="83"/>
      <c r="D410" s="83"/>
    </row>
    <row r="411" customFormat="false" ht="15.75" hidden="false" customHeight="true" outlineLevel="0" collapsed="false">
      <c r="C411" s="83"/>
      <c r="D411" s="83"/>
    </row>
    <row r="412" customFormat="false" ht="15.75" hidden="false" customHeight="true" outlineLevel="0" collapsed="false">
      <c r="C412" s="83"/>
      <c r="D412" s="83"/>
    </row>
    <row r="413" customFormat="false" ht="15.75" hidden="false" customHeight="true" outlineLevel="0" collapsed="false">
      <c r="C413" s="83"/>
      <c r="D413" s="83"/>
    </row>
    <row r="414" customFormat="false" ht="15.75" hidden="false" customHeight="true" outlineLevel="0" collapsed="false">
      <c r="C414" s="83"/>
      <c r="D414" s="83"/>
    </row>
    <row r="415" customFormat="false" ht="15.75" hidden="false" customHeight="true" outlineLevel="0" collapsed="false">
      <c r="C415" s="83"/>
      <c r="D415" s="83"/>
    </row>
    <row r="416" customFormat="false" ht="15.75" hidden="false" customHeight="true" outlineLevel="0" collapsed="false">
      <c r="C416" s="83"/>
      <c r="D416" s="83"/>
    </row>
    <row r="417" customFormat="false" ht="15.75" hidden="false" customHeight="true" outlineLevel="0" collapsed="false">
      <c r="C417" s="83"/>
      <c r="D417" s="83"/>
    </row>
    <row r="418" customFormat="false" ht="15.75" hidden="false" customHeight="true" outlineLevel="0" collapsed="false">
      <c r="C418" s="83"/>
      <c r="D418" s="83"/>
    </row>
    <row r="419" customFormat="false" ht="15.75" hidden="false" customHeight="true" outlineLevel="0" collapsed="false">
      <c r="C419" s="83"/>
      <c r="D419" s="83"/>
    </row>
    <row r="420" customFormat="false" ht="15.75" hidden="false" customHeight="true" outlineLevel="0" collapsed="false">
      <c r="C420" s="83"/>
      <c r="D420" s="83"/>
    </row>
    <row r="421" customFormat="false" ht="15.75" hidden="false" customHeight="true" outlineLevel="0" collapsed="false">
      <c r="C421" s="83"/>
      <c r="D421" s="83"/>
    </row>
    <row r="422" customFormat="false" ht="15.75" hidden="false" customHeight="true" outlineLevel="0" collapsed="false">
      <c r="C422" s="83"/>
      <c r="D422" s="83"/>
    </row>
    <row r="423" customFormat="false" ht="15.75" hidden="false" customHeight="true" outlineLevel="0" collapsed="false">
      <c r="C423" s="83"/>
      <c r="D423" s="83"/>
    </row>
    <row r="424" customFormat="false" ht="15.75" hidden="false" customHeight="true" outlineLevel="0" collapsed="false">
      <c r="C424" s="83"/>
      <c r="D424" s="83"/>
    </row>
    <row r="425" customFormat="false" ht="15.75" hidden="false" customHeight="true" outlineLevel="0" collapsed="false">
      <c r="C425" s="83"/>
      <c r="D425" s="83"/>
    </row>
    <row r="426" customFormat="false" ht="15.75" hidden="false" customHeight="true" outlineLevel="0" collapsed="false">
      <c r="C426" s="83"/>
      <c r="D426" s="83"/>
    </row>
    <row r="427" customFormat="false" ht="15.75" hidden="false" customHeight="true" outlineLevel="0" collapsed="false">
      <c r="C427" s="83"/>
      <c r="D427" s="83"/>
    </row>
    <row r="428" customFormat="false" ht="15.75" hidden="false" customHeight="true" outlineLevel="0" collapsed="false">
      <c r="C428" s="83"/>
      <c r="D428" s="83"/>
    </row>
    <row r="429" customFormat="false" ht="15.75" hidden="false" customHeight="true" outlineLevel="0" collapsed="false">
      <c r="C429" s="83"/>
      <c r="D429" s="83"/>
    </row>
    <row r="430" customFormat="false" ht="15.75" hidden="false" customHeight="true" outlineLevel="0" collapsed="false">
      <c r="C430" s="83"/>
      <c r="D430" s="83"/>
    </row>
    <row r="431" customFormat="false" ht="15.75" hidden="false" customHeight="true" outlineLevel="0" collapsed="false">
      <c r="C431" s="83"/>
      <c r="D431" s="83"/>
    </row>
    <row r="432" customFormat="false" ht="15.75" hidden="false" customHeight="true" outlineLevel="0" collapsed="false">
      <c r="C432" s="83"/>
      <c r="D432" s="83"/>
    </row>
    <row r="433" customFormat="false" ht="15.75" hidden="false" customHeight="true" outlineLevel="0" collapsed="false">
      <c r="C433" s="83"/>
      <c r="D433" s="83"/>
    </row>
    <row r="434" customFormat="false" ht="15.75" hidden="false" customHeight="true" outlineLevel="0" collapsed="false">
      <c r="C434" s="83"/>
      <c r="D434" s="83"/>
    </row>
    <row r="435" customFormat="false" ht="15.75" hidden="false" customHeight="true" outlineLevel="0" collapsed="false">
      <c r="C435" s="83"/>
      <c r="D435" s="83"/>
    </row>
    <row r="436" customFormat="false" ht="15.75" hidden="false" customHeight="true" outlineLevel="0" collapsed="false">
      <c r="C436" s="83"/>
      <c r="D436" s="83"/>
    </row>
    <row r="437" customFormat="false" ht="15.75" hidden="false" customHeight="true" outlineLevel="0" collapsed="false">
      <c r="C437" s="83"/>
      <c r="D437" s="83"/>
    </row>
    <row r="438" customFormat="false" ht="15.75" hidden="false" customHeight="true" outlineLevel="0" collapsed="false">
      <c r="C438" s="83"/>
      <c r="D438" s="83"/>
    </row>
    <row r="439" customFormat="false" ht="15.75" hidden="false" customHeight="true" outlineLevel="0" collapsed="false">
      <c r="C439" s="83"/>
      <c r="D439" s="83"/>
    </row>
    <row r="440" customFormat="false" ht="15.75" hidden="false" customHeight="true" outlineLevel="0" collapsed="false">
      <c r="C440" s="83"/>
      <c r="D440" s="83"/>
    </row>
    <row r="441" customFormat="false" ht="15.75" hidden="false" customHeight="true" outlineLevel="0" collapsed="false">
      <c r="C441" s="83"/>
      <c r="D441" s="83"/>
    </row>
    <row r="442" customFormat="false" ht="15.75" hidden="false" customHeight="true" outlineLevel="0" collapsed="false">
      <c r="C442" s="83"/>
      <c r="D442" s="83"/>
    </row>
    <row r="443" customFormat="false" ht="15.75" hidden="false" customHeight="true" outlineLevel="0" collapsed="false">
      <c r="C443" s="83"/>
      <c r="D443" s="83"/>
    </row>
    <row r="444" customFormat="false" ht="15.75" hidden="false" customHeight="true" outlineLevel="0" collapsed="false">
      <c r="C444" s="83"/>
      <c r="D444" s="83"/>
    </row>
    <row r="445" customFormat="false" ht="15.75" hidden="false" customHeight="true" outlineLevel="0" collapsed="false">
      <c r="C445" s="83"/>
      <c r="D445" s="83"/>
    </row>
    <row r="446" customFormat="false" ht="15.75" hidden="false" customHeight="true" outlineLevel="0" collapsed="false">
      <c r="C446" s="83"/>
      <c r="D446" s="83"/>
    </row>
    <row r="447" customFormat="false" ht="15.75" hidden="false" customHeight="true" outlineLevel="0" collapsed="false">
      <c r="C447" s="83"/>
      <c r="D447" s="83"/>
    </row>
    <row r="448" customFormat="false" ht="15.75" hidden="false" customHeight="true" outlineLevel="0" collapsed="false">
      <c r="C448" s="83"/>
      <c r="D448" s="83"/>
    </row>
    <row r="449" customFormat="false" ht="15.75" hidden="false" customHeight="true" outlineLevel="0" collapsed="false">
      <c r="C449" s="83"/>
      <c r="D449" s="83"/>
    </row>
    <row r="450" customFormat="false" ht="15.75" hidden="false" customHeight="true" outlineLevel="0" collapsed="false">
      <c r="C450" s="83"/>
      <c r="D450" s="83"/>
    </row>
    <row r="451" customFormat="false" ht="15.75" hidden="false" customHeight="true" outlineLevel="0" collapsed="false">
      <c r="C451" s="83"/>
      <c r="D451" s="83"/>
    </row>
    <row r="452" customFormat="false" ht="15.75" hidden="false" customHeight="true" outlineLevel="0" collapsed="false">
      <c r="C452" s="83"/>
      <c r="D452" s="83"/>
    </row>
    <row r="453" customFormat="false" ht="15.75" hidden="false" customHeight="true" outlineLevel="0" collapsed="false">
      <c r="C453" s="83"/>
      <c r="D453" s="83"/>
    </row>
    <row r="454" customFormat="false" ht="15.75" hidden="false" customHeight="true" outlineLevel="0" collapsed="false">
      <c r="C454" s="83"/>
      <c r="D454" s="83"/>
    </row>
    <row r="455" customFormat="false" ht="15.75" hidden="false" customHeight="true" outlineLevel="0" collapsed="false">
      <c r="C455" s="83"/>
      <c r="D455" s="83"/>
    </row>
    <row r="456" customFormat="false" ht="15.75" hidden="false" customHeight="true" outlineLevel="0" collapsed="false">
      <c r="C456" s="83"/>
      <c r="D456" s="83"/>
    </row>
    <row r="457" customFormat="false" ht="15.75" hidden="false" customHeight="true" outlineLevel="0" collapsed="false">
      <c r="C457" s="83"/>
      <c r="D457" s="83"/>
    </row>
    <row r="458" customFormat="false" ht="15.75" hidden="false" customHeight="true" outlineLevel="0" collapsed="false">
      <c r="C458" s="83"/>
      <c r="D458" s="83"/>
    </row>
    <row r="459" customFormat="false" ht="15.75" hidden="false" customHeight="true" outlineLevel="0" collapsed="false">
      <c r="C459" s="83"/>
      <c r="D459" s="83"/>
    </row>
    <row r="460" customFormat="false" ht="15.75" hidden="false" customHeight="true" outlineLevel="0" collapsed="false">
      <c r="C460" s="83"/>
      <c r="D460" s="83"/>
    </row>
    <row r="461" customFormat="false" ht="15.75" hidden="false" customHeight="true" outlineLevel="0" collapsed="false">
      <c r="C461" s="83"/>
      <c r="D461" s="83"/>
    </row>
    <row r="462" customFormat="false" ht="15.75" hidden="false" customHeight="true" outlineLevel="0" collapsed="false">
      <c r="C462" s="83"/>
      <c r="D462" s="83"/>
    </row>
    <row r="463" customFormat="false" ht="15.75" hidden="false" customHeight="true" outlineLevel="0" collapsed="false">
      <c r="C463" s="83"/>
      <c r="D463" s="83"/>
    </row>
    <row r="464" customFormat="false" ht="15.75" hidden="false" customHeight="true" outlineLevel="0" collapsed="false">
      <c r="C464" s="83"/>
      <c r="D464" s="83"/>
    </row>
    <row r="465" customFormat="false" ht="15.75" hidden="false" customHeight="true" outlineLevel="0" collapsed="false">
      <c r="C465" s="83"/>
      <c r="D465" s="83"/>
    </row>
    <row r="466" customFormat="false" ht="15.75" hidden="false" customHeight="true" outlineLevel="0" collapsed="false">
      <c r="C466" s="83"/>
      <c r="D466" s="83"/>
    </row>
    <row r="467" customFormat="false" ht="15.75" hidden="false" customHeight="true" outlineLevel="0" collapsed="false">
      <c r="C467" s="83"/>
      <c r="D467" s="83"/>
    </row>
    <row r="468" customFormat="false" ht="15.75" hidden="false" customHeight="true" outlineLevel="0" collapsed="false">
      <c r="C468" s="83"/>
      <c r="D468" s="83"/>
    </row>
    <row r="469" customFormat="false" ht="15.75" hidden="false" customHeight="true" outlineLevel="0" collapsed="false">
      <c r="C469" s="83"/>
      <c r="D469" s="83"/>
    </row>
    <row r="470" customFormat="false" ht="15.75" hidden="false" customHeight="true" outlineLevel="0" collapsed="false">
      <c r="C470" s="83"/>
      <c r="D470" s="83"/>
    </row>
    <row r="471" customFormat="false" ht="15.75" hidden="false" customHeight="true" outlineLevel="0" collapsed="false">
      <c r="C471" s="83"/>
      <c r="D471" s="83"/>
    </row>
    <row r="472" customFormat="false" ht="15.75" hidden="false" customHeight="true" outlineLevel="0" collapsed="false">
      <c r="C472" s="83"/>
      <c r="D472" s="83"/>
    </row>
    <row r="473" customFormat="false" ht="15.75" hidden="false" customHeight="true" outlineLevel="0" collapsed="false">
      <c r="C473" s="83"/>
      <c r="D473" s="83"/>
    </row>
    <row r="474" customFormat="false" ht="15.75" hidden="false" customHeight="true" outlineLevel="0" collapsed="false">
      <c r="C474" s="83"/>
      <c r="D474" s="83"/>
    </row>
    <row r="475" customFormat="false" ht="15.75" hidden="false" customHeight="true" outlineLevel="0" collapsed="false">
      <c r="C475" s="83"/>
      <c r="D475" s="83"/>
    </row>
    <row r="476" customFormat="false" ht="15.75" hidden="false" customHeight="true" outlineLevel="0" collapsed="false">
      <c r="C476" s="83"/>
      <c r="D476" s="83"/>
    </row>
    <row r="477" customFormat="false" ht="15.75" hidden="false" customHeight="true" outlineLevel="0" collapsed="false">
      <c r="C477" s="83"/>
      <c r="D477" s="83"/>
    </row>
    <row r="478" customFormat="false" ht="15.75" hidden="false" customHeight="true" outlineLevel="0" collapsed="false">
      <c r="C478" s="83"/>
      <c r="D478" s="83"/>
    </row>
    <row r="479" customFormat="false" ht="15.75" hidden="false" customHeight="true" outlineLevel="0" collapsed="false">
      <c r="C479" s="83"/>
      <c r="D479" s="83"/>
    </row>
    <row r="480" customFormat="false" ht="15.75" hidden="false" customHeight="true" outlineLevel="0" collapsed="false">
      <c r="C480" s="83"/>
      <c r="D480" s="83"/>
    </row>
    <row r="481" customFormat="false" ht="15.75" hidden="false" customHeight="true" outlineLevel="0" collapsed="false">
      <c r="C481" s="83"/>
      <c r="D481" s="83"/>
    </row>
    <row r="482" customFormat="false" ht="15.75" hidden="false" customHeight="true" outlineLevel="0" collapsed="false">
      <c r="C482" s="83"/>
      <c r="D482" s="83"/>
    </row>
    <row r="483" customFormat="false" ht="15.75" hidden="false" customHeight="true" outlineLevel="0" collapsed="false">
      <c r="C483" s="83"/>
      <c r="D483" s="83"/>
    </row>
    <row r="484" customFormat="false" ht="15.75" hidden="false" customHeight="true" outlineLevel="0" collapsed="false">
      <c r="C484" s="83"/>
      <c r="D484" s="83"/>
    </row>
    <row r="485" customFormat="false" ht="15.75" hidden="false" customHeight="true" outlineLevel="0" collapsed="false">
      <c r="C485" s="83"/>
      <c r="D485" s="83"/>
    </row>
    <row r="486" customFormat="false" ht="15.75" hidden="false" customHeight="true" outlineLevel="0" collapsed="false">
      <c r="C486" s="83"/>
      <c r="D486" s="83"/>
    </row>
    <row r="487" customFormat="false" ht="15.75" hidden="false" customHeight="true" outlineLevel="0" collapsed="false">
      <c r="C487" s="83"/>
      <c r="D487" s="83"/>
    </row>
    <row r="488" customFormat="false" ht="15.75" hidden="false" customHeight="true" outlineLevel="0" collapsed="false">
      <c r="C488" s="83"/>
      <c r="D488" s="83"/>
    </row>
    <row r="489" customFormat="false" ht="15.75" hidden="false" customHeight="true" outlineLevel="0" collapsed="false">
      <c r="C489" s="83"/>
      <c r="D489" s="83"/>
    </row>
    <row r="490" customFormat="false" ht="15.75" hidden="false" customHeight="true" outlineLevel="0" collapsed="false">
      <c r="C490" s="83"/>
      <c r="D490" s="83"/>
    </row>
    <row r="491" customFormat="false" ht="15.75" hidden="false" customHeight="true" outlineLevel="0" collapsed="false">
      <c r="C491" s="83"/>
      <c r="D491" s="83"/>
    </row>
    <row r="492" customFormat="false" ht="15.75" hidden="false" customHeight="true" outlineLevel="0" collapsed="false">
      <c r="C492" s="83"/>
      <c r="D492" s="83"/>
    </row>
    <row r="493" customFormat="false" ht="15.75" hidden="false" customHeight="true" outlineLevel="0" collapsed="false">
      <c r="C493" s="83"/>
      <c r="D493" s="83"/>
    </row>
    <row r="494" customFormat="false" ht="15.75" hidden="false" customHeight="true" outlineLevel="0" collapsed="false">
      <c r="C494" s="83"/>
      <c r="D494" s="83"/>
    </row>
    <row r="495" customFormat="false" ht="15.75" hidden="false" customHeight="true" outlineLevel="0" collapsed="false">
      <c r="C495" s="83"/>
      <c r="D495" s="83"/>
    </row>
    <row r="496" customFormat="false" ht="15.75" hidden="false" customHeight="true" outlineLevel="0" collapsed="false">
      <c r="C496" s="83"/>
      <c r="D496" s="83"/>
    </row>
    <row r="497" customFormat="false" ht="15.75" hidden="false" customHeight="true" outlineLevel="0" collapsed="false">
      <c r="C497" s="83"/>
      <c r="D497" s="83"/>
    </row>
    <row r="498" customFormat="false" ht="15.75" hidden="false" customHeight="true" outlineLevel="0" collapsed="false">
      <c r="C498" s="83"/>
      <c r="D498" s="83"/>
    </row>
    <row r="499" customFormat="false" ht="15.75" hidden="false" customHeight="true" outlineLevel="0" collapsed="false">
      <c r="C499" s="83"/>
      <c r="D499" s="83"/>
    </row>
    <row r="500" customFormat="false" ht="15.75" hidden="false" customHeight="true" outlineLevel="0" collapsed="false">
      <c r="C500" s="83"/>
      <c r="D500" s="83"/>
    </row>
    <row r="501" customFormat="false" ht="15.75" hidden="false" customHeight="true" outlineLevel="0" collapsed="false">
      <c r="C501" s="83"/>
      <c r="D501" s="83"/>
    </row>
    <row r="502" customFormat="false" ht="15.75" hidden="false" customHeight="true" outlineLevel="0" collapsed="false">
      <c r="C502" s="83"/>
      <c r="D502" s="83"/>
    </row>
    <row r="503" customFormat="false" ht="15.75" hidden="false" customHeight="true" outlineLevel="0" collapsed="false">
      <c r="C503" s="83"/>
      <c r="D503" s="83"/>
    </row>
    <row r="504" customFormat="false" ht="15.75" hidden="false" customHeight="true" outlineLevel="0" collapsed="false">
      <c r="C504" s="83"/>
      <c r="D504" s="83"/>
    </row>
    <row r="505" customFormat="false" ht="15.75" hidden="false" customHeight="true" outlineLevel="0" collapsed="false">
      <c r="C505" s="83"/>
      <c r="D505" s="83"/>
    </row>
    <row r="506" customFormat="false" ht="15.75" hidden="false" customHeight="true" outlineLevel="0" collapsed="false">
      <c r="C506" s="83"/>
      <c r="D506" s="83"/>
    </row>
    <row r="507" customFormat="false" ht="15.75" hidden="false" customHeight="true" outlineLevel="0" collapsed="false">
      <c r="C507" s="83"/>
      <c r="D507" s="83"/>
    </row>
    <row r="508" customFormat="false" ht="15.75" hidden="false" customHeight="true" outlineLevel="0" collapsed="false">
      <c r="C508" s="83"/>
      <c r="D508" s="83"/>
    </row>
    <row r="509" customFormat="false" ht="15.75" hidden="false" customHeight="true" outlineLevel="0" collapsed="false">
      <c r="C509" s="83"/>
      <c r="D509" s="83"/>
    </row>
    <row r="510" customFormat="false" ht="15.75" hidden="false" customHeight="true" outlineLevel="0" collapsed="false">
      <c r="C510" s="83"/>
      <c r="D510" s="83"/>
    </row>
    <row r="511" customFormat="false" ht="15.75" hidden="false" customHeight="true" outlineLevel="0" collapsed="false">
      <c r="C511" s="83"/>
      <c r="D511" s="83"/>
    </row>
    <row r="512" customFormat="false" ht="15.75" hidden="false" customHeight="true" outlineLevel="0" collapsed="false">
      <c r="C512" s="83"/>
      <c r="D512" s="83"/>
    </row>
    <row r="513" customFormat="false" ht="15.75" hidden="false" customHeight="true" outlineLevel="0" collapsed="false">
      <c r="C513" s="83"/>
      <c r="D513" s="83"/>
    </row>
    <row r="514" customFormat="false" ht="15.75" hidden="false" customHeight="true" outlineLevel="0" collapsed="false">
      <c r="C514" s="83"/>
      <c r="D514" s="83"/>
    </row>
    <row r="515" customFormat="false" ht="15.75" hidden="false" customHeight="true" outlineLevel="0" collapsed="false">
      <c r="C515" s="83"/>
      <c r="D515" s="83"/>
    </row>
    <row r="516" customFormat="false" ht="15.75" hidden="false" customHeight="true" outlineLevel="0" collapsed="false">
      <c r="C516" s="83"/>
      <c r="D516" s="83"/>
    </row>
    <row r="517" customFormat="false" ht="15.75" hidden="false" customHeight="true" outlineLevel="0" collapsed="false">
      <c r="C517" s="83"/>
      <c r="D517" s="83"/>
    </row>
    <row r="518" customFormat="false" ht="15.75" hidden="false" customHeight="true" outlineLevel="0" collapsed="false">
      <c r="C518" s="83"/>
      <c r="D518" s="83"/>
    </row>
    <row r="519" customFormat="false" ht="15.75" hidden="false" customHeight="true" outlineLevel="0" collapsed="false">
      <c r="C519" s="83"/>
      <c r="D519" s="83"/>
    </row>
    <row r="520" customFormat="false" ht="15.75" hidden="false" customHeight="true" outlineLevel="0" collapsed="false">
      <c r="C520" s="83"/>
      <c r="D520" s="83"/>
    </row>
    <row r="521" customFormat="false" ht="15.75" hidden="false" customHeight="true" outlineLevel="0" collapsed="false">
      <c r="C521" s="83"/>
      <c r="D521" s="83"/>
    </row>
    <row r="522" customFormat="false" ht="15.75" hidden="false" customHeight="true" outlineLevel="0" collapsed="false">
      <c r="C522" s="83"/>
      <c r="D522" s="83"/>
    </row>
    <row r="523" customFormat="false" ht="15.75" hidden="false" customHeight="true" outlineLevel="0" collapsed="false">
      <c r="C523" s="83"/>
      <c r="D523" s="83"/>
    </row>
    <row r="524" customFormat="false" ht="15.75" hidden="false" customHeight="true" outlineLevel="0" collapsed="false">
      <c r="C524" s="83"/>
      <c r="D524" s="83"/>
    </row>
    <row r="525" customFormat="false" ht="15.75" hidden="false" customHeight="true" outlineLevel="0" collapsed="false">
      <c r="C525" s="83"/>
      <c r="D525" s="83"/>
    </row>
    <row r="526" customFormat="false" ht="15.75" hidden="false" customHeight="true" outlineLevel="0" collapsed="false">
      <c r="C526" s="83"/>
      <c r="D526" s="83"/>
    </row>
    <row r="527" customFormat="false" ht="15.75" hidden="false" customHeight="true" outlineLevel="0" collapsed="false">
      <c r="C527" s="83"/>
      <c r="D527" s="83"/>
    </row>
    <row r="528" customFormat="false" ht="15.75" hidden="false" customHeight="true" outlineLevel="0" collapsed="false">
      <c r="C528" s="83"/>
      <c r="D528" s="83"/>
    </row>
    <row r="529" customFormat="false" ht="15.75" hidden="false" customHeight="true" outlineLevel="0" collapsed="false">
      <c r="C529" s="83"/>
      <c r="D529" s="83"/>
    </row>
    <row r="530" customFormat="false" ht="15.75" hidden="false" customHeight="true" outlineLevel="0" collapsed="false">
      <c r="C530" s="83"/>
      <c r="D530" s="83"/>
    </row>
    <row r="531" customFormat="false" ht="15.75" hidden="false" customHeight="true" outlineLevel="0" collapsed="false">
      <c r="C531" s="83"/>
      <c r="D531" s="83"/>
    </row>
    <row r="532" customFormat="false" ht="15.75" hidden="false" customHeight="true" outlineLevel="0" collapsed="false">
      <c r="C532" s="83"/>
      <c r="D532" s="83"/>
    </row>
    <row r="533" customFormat="false" ht="15.75" hidden="false" customHeight="true" outlineLevel="0" collapsed="false">
      <c r="C533" s="83"/>
      <c r="D533" s="83"/>
    </row>
    <row r="534" customFormat="false" ht="15.75" hidden="false" customHeight="true" outlineLevel="0" collapsed="false">
      <c r="C534" s="83"/>
      <c r="D534" s="83"/>
    </row>
    <row r="535" customFormat="false" ht="15.75" hidden="false" customHeight="true" outlineLevel="0" collapsed="false">
      <c r="C535" s="83"/>
      <c r="D535" s="83"/>
    </row>
    <row r="536" customFormat="false" ht="15.75" hidden="false" customHeight="true" outlineLevel="0" collapsed="false">
      <c r="C536" s="83"/>
      <c r="D536" s="83"/>
    </row>
    <row r="537" customFormat="false" ht="15.75" hidden="false" customHeight="true" outlineLevel="0" collapsed="false">
      <c r="C537" s="83"/>
      <c r="D537" s="83"/>
    </row>
    <row r="538" customFormat="false" ht="15.75" hidden="false" customHeight="true" outlineLevel="0" collapsed="false">
      <c r="C538" s="83"/>
      <c r="D538" s="83"/>
    </row>
    <row r="539" customFormat="false" ht="15.75" hidden="false" customHeight="true" outlineLevel="0" collapsed="false">
      <c r="C539" s="83"/>
      <c r="D539" s="83"/>
    </row>
    <row r="540" customFormat="false" ht="15.75" hidden="false" customHeight="true" outlineLevel="0" collapsed="false">
      <c r="C540" s="83"/>
      <c r="D540" s="83"/>
    </row>
    <row r="541" customFormat="false" ht="15.75" hidden="false" customHeight="true" outlineLevel="0" collapsed="false">
      <c r="C541" s="83"/>
      <c r="D541" s="83"/>
    </row>
    <row r="542" customFormat="false" ht="15.75" hidden="false" customHeight="true" outlineLevel="0" collapsed="false">
      <c r="C542" s="83"/>
      <c r="D542" s="83"/>
    </row>
    <row r="543" customFormat="false" ht="15.75" hidden="false" customHeight="true" outlineLevel="0" collapsed="false">
      <c r="C543" s="83"/>
      <c r="D543" s="83"/>
    </row>
    <row r="544" customFormat="false" ht="15.75" hidden="false" customHeight="true" outlineLevel="0" collapsed="false">
      <c r="C544" s="83"/>
      <c r="D544" s="83"/>
    </row>
    <row r="545" customFormat="false" ht="15.75" hidden="false" customHeight="true" outlineLevel="0" collapsed="false">
      <c r="C545" s="83"/>
      <c r="D545" s="83"/>
    </row>
    <row r="546" customFormat="false" ht="15.75" hidden="false" customHeight="true" outlineLevel="0" collapsed="false">
      <c r="C546" s="83"/>
      <c r="D546" s="83"/>
    </row>
    <row r="547" customFormat="false" ht="15.75" hidden="false" customHeight="true" outlineLevel="0" collapsed="false">
      <c r="C547" s="83"/>
      <c r="D547" s="83"/>
    </row>
    <row r="548" customFormat="false" ht="15.75" hidden="false" customHeight="true" outlineLevel="0" collapsed="false">
      <c r="C548" s="83"/>
      <c r="D548" s="83"/>
    </row>
    <row r="549" customFormat="false" ht="15.75" hidden="false" customHeight="true" outlineLevel="0" collapsed="false">
      <c r="C549" s="83"/>
      <c r="D549" s="83"/>
    </row>
    <row r="550" customFormat="false" ht="15.75" hidden="false" customHeight="true" outlineLevel="0" collapsed="false">
      <c r="C550" s="83"/>
      <c r="D550" s="83"/>
    </row>
    <row r="551" customFormat="false" ht="15.75" hidden="false" customHeight="true" outlineLevel="0" collapsed="false">
      <c r="C551" s="83"/>
      <c r="D551" s="83"/>
    </row>
    <row r="552" customFormat="false" ht="15.75" hidden="false" customHeight="true" outlineLevel="0" collapsed="false">
      <c r="C552" s="83"/>
      <c r="D552" s="83"/>
    </row>
    <row r="553" customFormat="false" ht="15.75" hidden="false" customHeight="true" outlineLevel="0" collapsed="false">
      <c r="C553" s="83"/>
      <c r="D553" s="83"/>
    </row>
    <row r="554" customFormat="false" ht="15.75" hidden="false" customHeight="true" outlineLevel="0" collapsed="false">
      <c r="C554" s="83"/>
      <c r="D554" s="83"/>
    </row>
    <row r="555" customFormat="false" ht="15.75" hidden="false" customHeight="true" outlineLevel="0" collapsed="false">
      <c r="C555" s="83"/>
      <c r="D555" s="83"/>
    </row>
    <row r="556" customFormat="false" ht="15.75" hidden="false" customHeight="true" outlineLevel="0" collapsed="false">
      <c r="C556" s="83"/>
      <c r="D556" s="83"/>
    </row>
    <row r="557" customFormat="false" ht="15.75" hidden="false" customHeight="true" outlineLevel="0" collapsed="false">
      <c r="C557" s="83"/>
      <c r="D557" s="83"/>
    </row>
    <row r="558" customFormat="false" ht="15.75" hidden="false" customHeight="true" outlineLevel="0" collapsed="false">
      <c r="C558" s="83"/>
      <c r="D558" s="83"/>
    </row>
    <row r="559" customFormat="false" ht="15.75" hidden="false" customHeight="true" outlineLevel="0" collapsed="false">
      <c r="C559" s="83"/>
      <c r="D559" s="83"/>
    </row>
    <row r="560" customFormat="false" ht="15.75" hidden="false" customHeight="true" outlineLevel="0" collapsed="false">
      <c r="C560" s="83"/>
      <c r="D560" s="83"/>
    </row>
    <row r="561" customFormat="false" ht="15.75" hidden="false" customHeight="true" outlineLevel="0" collapsed="false">
      <c r="C561" s="83"/>
      <c r="D561" s="83"/>
    </row>
    <row r="562" customFormat="false" ht="15.75" hidden="false" customHeight="true" outlineLevel="0" collapsed="false">
      <c r="C562" s="83"/>
      <c r="D562" s="83"/>
    </row>
    <row r="563" customFormat="false" ht="15.75" hidden="false" customHeight="true" outlineLevel="0" collapsed="false">
      <c r="C563" s="83"/>
      <c r="D563" s="83"/>
    </row>
    <row r="564" customFormat="false" ht="15.75" hidden="false" customHeight="true" outlineLevel="0" collapsed="false">
      <c r="C564" s="83"/>
      <c r="D564" s="83"/>
    </row>
    <row r="565" customFormat="false" ht="15.75" hidden="false" customHeight="true" outlineLevel="0" collapsed="false">
      <c r="C565" s="83"/>
      <c r="D565" s="83"/>
    </row>
    <row r="566" customFormat="false" ht="15.75" hidden="false" customHeight="true" outlineLevel="0" collapsed="false">
      <c r="C566" s="83"/>
      <c r="D566" s="83"/>
    </row>
    <row r="567" customFormat="false" ht="15.75" hidden="false" customHeight="true" outlineLevel="0" collapsed="false">
      <c r="C567" s="83"/>
      <c r="D567" s="83"/>
    </row>
    <row r="568" customFormat="false" ht="15.75" hidden="false" customHeight="true" outlineLevel="0" collapsed="false">
      <c r="C568" s="83"/>
      <c r="D568" s="83"/>
    </row>
    <row r="569" customFormat="false" ht="15.75" hidden="false" customHeight="true" outlineLevel="0" collapsed="false">
      <c r="C569" s="83"/>
      <c r="D569" s="83"/>
    </row>
    <row r="570" customFormat="false" ht="15.75" hidden="false" customHeight="true" outlineLevel="0" collapsed="false">
      <c r="C570" s="83"/>
      <c r="D570" s="83"/>
    </row>
    <row r="571" customFormat="false" ht="15.75" hidden="false" customHeight="true" outlineLevel="0" collapsed="false">
      <c r="C571" s="83"/>
      <c r="D571" s="83"/>
    </row>
    <row r="572" customFormat="false" ht="15.75" hidden="false" customHeight="true" outlineLevel="0" collapsed="false">
      <c r="C572" s="83"/>
      <c r="D572" s="83"/>
    </row>
    <row r="573" customFormat="false" ht="15.75" hidden="false" customHeight="true" outlineLevel="0" collapsed="false">
      <c r="C573" s="83"/>
      <c r="D573" s="83"/>
    </row>
    <row r="574" customFormat="false" ht="15.75" hidden="false" customHeight="true" outlineLevel="0" collapsed="false">
      <c r="C574" s="83"/>
      <c r="D574" s="83"/>
    </row>
    <row r="575" customFormat="false" ht="15.75" hidden="false" customHeight="true" outlineLevel="0" collapsed="false">
      <c r="C575" s="83"/>
      <c r="D575" s="83"/>
    </row>
    <row r="576" customFormat="false" ht="15.75" hidden="false" customHeight="true" outlineLevel="0" collapsed="false">
      <c r="C576" s="83"/>
      <c r="D576" s="83"/>
    </row>
    <row r="577" customFormat="false" ht="15.75" hidden="false" customHeight="true" outlineLevel="0" collapsed="false">
      <c r="C577" s="83"/>
      <c r="D577" s="83"/>
    </row>
    <row r="578" customFormat="false" ht="15.75" hidden="false" customHeight="true" outlineLevel="0" collapsed="false">
      <c r="C578" s="83"/>
      <c r="D578" s="83"/>
    </row>
    <row r="579" customFormat="false" ht="15.75" hidden="false" customHeight="true" outlineLevel="0" collapsed="false">
      <c r="C579" s="83"/>
      <c r="D579" s="83"/>
    </row>
    <row r="580" customFormat="false" ht="15.75" hidden="false" customHeight="true" outlineLevel="0" collapsed="false">
      <c r="C580" s="83"/>
      <c r="D580" s="83"/>
    </row>
    <row r="581" customFormat="false" ht="15.75" hidden="false" customHeight="true" outlineLevel="0" collapsed="false">
      <c r="C581" s="83"/>
      <c r="D581" s="83"/>
    </row>
    <row r="582" customFormat="false" ht="15.75" hidden="false" customHeight="true" outlineLevel="0" collapsed="false">
      <c r="C582" s="83"/>
      <c r="D582" s="83"/>
    </row>
    <row r="583" customFormat="false" ht="15.75" hidden="false" customHeight="true" outlineLevel="0" collapsed="false">
      <c r="C583" s="83"/>
      <c r="D583" s="83"/>
    </row>
    <row r="584" customFormat="false" ht="15.75" hidden="false" customHeight="true" outlineLevel="0" collapsed="false">
      <c r="C584" s="83"/>
      <c r="D584" s="83"/>
    </row>
    <row r="585" customFormat="false" ht="15.75" hidden="false" customHeight="true" outlineLevel="0" collapsed="false">
      <c r="C585" s="83"/>
      <c r="D585" s="83"/>
    </row>
    <row r="586" customFormat="false" ht="15.75" hidden="false" customHeight="true" outlineLevel="0" collapsed="false">
      <c r="C586" s="83"/>
      <c r="D586" s="83"/>
    </row>
    <row r="587" customFormat="false" ht="15.75" hidden="false" customHeight="true" outlineLevel="0" collapsed="false">
      <c r="C587" s="83"/>
      <c r="D587" s="83"/>
    </row>
    <row r="588" customFormat="false" ht="15.75" hidden="false" customHeight="true" outlineLevel="0" collapsed="false">
      <c r="C588" s="83"/>
      <c r="D588" s="83"/>
    </row>
    <row r="589" customFormat="false" ht="15.75" hidden="false" customHeight="true" outlineLevel="0" collapsed="false">
      <c r="C589" s="83"/>
      <c r="D589" s="83"/>
    </row>
    <row r="590" customFormat="false" ht="15.75" hidden="false" customHeight="true" outlineLevel="0" collapsed="false">
      <c r="C590" s="83"/>
      <c r="D590" s="83"/>
    </row>
    <row r="591" customFormat="false" ht="15.75" hidden="false" customHeight="true" outlineLevel="0" collapsed="false">
      <c r="C591" s="83"/>
      <c r="D591" s="83"/>
    </row>
    <row r="592" customFormat="false" ht="15.75" hidden="false" customHeight="true" outlineLevel="0" collapsed="false">
      <c r="C592" s="83"/>
      <c r="D592" s="83"/>
    </row>
    <row r="593" customFormat="false" ht="15.75" hidden="false" customHeight="true" outlineLevel="0" collapsed="false">
      <c r="C593" s="83"/>
      <c r="D593" s="83"/>
    </row>
    <row r="594" customFormat="false" ht="15.75" hidden="false" customHeight="true" outlineLevel="0" collapsed="false">
      <c r="C594" s="83"/>
      <c r="D594" s="83"/>
    </row>
    <row r="595" customFormat="false" ht="15.75" hidden="false" customHeight="true" outlineLevel="0" collapsed="false">
      <c r="C595" s="83"/>
      <c r="D595" s="83"/>
    </row>
    <row r="596" customFormat="false" ht="15.75" hidden="false" customHeight="true" outlineLevel="0" collapsed="false">
      <c r="C596" s="83"/>
      <c r="D596" s="83"/>
    </row>
    <row r="597" customFormat="false" ht="15.75" hidden="false" customHeight="true" outlineLevel="0" collapsed="false">
      <c r="C597" s="83"/>
      <c r="D597" s="83"/>
    </row>
    <row r="598" customFormat="false" ht="15.75" hidden="false" customHeight="true" outlineLevel="0" collapsed="false">
      <c r="C598" s="83"/>
      <c r="D598" s="83"/>
    </row>
    <row r="599" customFormat="false" ht="15.75" hidden="false" customHeight="true" outlineLevel="0" collapsed="false">
      <c r="C599" s="83"/>
      <c r="D599" s="83"/>
    </row>
    <row r="600" customFormat="false" ht="15.75" hidden="false" customHeight="true" outlineLevel="0" collapsed="false">
      <c r="C600" s="83"/>
      <c r="D600" s="83"/>
    </row>
    <row r="601" customFormat="false" ht="15.75" hidden="false" customHeight="true" outlineLevel="0" collapsed="false">
      <c r="C601" s="83"/>
      <c r="D601" s="83"/>
    </row>
    <row r="602" customFormat="false" ht="15.75" hidden="false" customHeight="true" outlineLevel="0" collapsed="false">
      <c r="C602" s="83"/>
      <c r="D602" s="83"/>
    </row>
    <row r="603" customFormat="false" ht="15.75" hidden="false" customHeight="true" outlineLevel="0" collapsed="false">
      <c r="C603" s="83"/>
      <c r="D603" s="83"/>
    </row>
    <row r="604" customFormat="false" ht="15.75" hidden="false" customHeight="true" outlineLevel="0" collapsed="false">
      <c r="C604" s="83"/>
      <c r="D604" s="83"/>
    </row>
    <row r="605" customFormat="false" ht="15.75" hidden="false" customHeight="true" outlineLevel="0" collapsed="false">
      <c r="C605" s="83"/>
      <c r="D605" s="83"/>
    </row>
    <row r="606" customFormat="false" ht="15.75" hidden="false" customHeight="true" outlineLevel="0" collapsed="false">
      <c r="C606" s="83"/>
      <c r="D606" s="83"/>
    </row>
    <row r="607" customFormat="false" ht="15.75" hidden="false" customHeight="true" outlineLevel="0" collapsed="false">
      <c r="C607" s="83"/>
      <c r="D607" s="83"/>
    </row>
    <row r="608" customFormat="false" ht="15.75" hidden="false" customHeight="true" outlineLevel="0" collapsed="false">
      <c r="C608" s="83"/>
      <c r="D608" s="83"/>
    </row>
    <row r="609" customFormat="false" ht="15.75" hidden="false" customHeight="true" outlineLevel="0" collapsed="false">
      <c r="C609" s="83"/>
      <c r="D609" s="83"/>
    </row>
    <row r="610" customFormat="false" ht="15.75" hidden="false" customHeight="true" outlineLevel="0" collapsed="false">
      <c r="C610" s="83"/>
      <c r="D610" s="83"/>
    </row>
    <row r="611" customFormat="false" ht="15.75" hidden="false" customHeight="true" outlineLevel="0" collapsed="false">
      <c r="C611" s="83"/>
      <c r="D611" s="83"/>
    </row>
    <row r="612" customFormat="false" ht="15.75" hidden="false" customHeight="true" outlineLevel="0" collapsed="false">
      <c r="C612" s="83"/>
      <c r="D612" s="83"/>
    </row>
    <row r="613" customFormat="false" ht="15.75" hidden="false" customHeight="true" outlineLevel="0" collapsed="false">
      <c r="C613" s="83"/>
      <c r="D613" s="83"/>
    </row>
    <row r="614" customFormat="false" ht="15.75" hidden="false" customHeight="true" outlineLevel="0" collapsed="false">
      <c r="C614" s="83"/>
      <c r="D614" s="83"/>
    </row>
    <row r="615" customFormat="false" ht="15.75" hidden="false" customHeight="true" outlineLevel="0" collapsed="false">
      <c r="C615" s="83"/>
      <c r="D615" s="83"/>
    </row>
    <row r="616" customFormat="false" ht="15.75" hidden="false" customHeight="true" outlineLevel="0" collapsed="false">
      <c r="C616" s="83"/>
      <c r="D616" s="83"/>
    </row>
    <row r="617" customFormat="false" ht="15.75" hidden="false" customHeight="true" outlineLevel="0" collapsed="false">
      <c r="C617" s="83"/>
      <c r="D617" s="83"/>
    </row>
    <row r="618" customFormat="false" ht="15.75" hidden="false" customHeight="true" outlineLevel="0" collapsed="false">
      <c r="C618" s="83"/>
      <c r="D618" s="83"/>
    </row>
    <row r="619" customFormat="false" ht="15.75" hidden="false" customHeight="true" outlineLevel="0" collapsed="false">
      <c r="C619" s="83"/>
      <c r="D619" s="83"/>
    </row>
    <row r="620" customFormat="false" ht="15.75" hidden="false" customHeight="true" outlineLevel="0" collapsed="false">
      <c r="C620" s="83"/>
      <c r="D620" s="83"/>
    </row>
    <row r="621" customFormat="false" ht="15.75" hidden="false" customHeight="true" outlineLevel="0" collapsed="false">
      <c r="C621" s="83"/>
      <c r="D621" s="83"/>
    </row>
    <row r="622" customFormat="false" ht="15.75" hidden="false" customHeight="true" outlineLevel="0" collapsed="false">
      <c r="C622" s="83"/>
      <c r="D622" s="83"/>
    </row>
    <row r="623" customFormat="false" ht="15.75" hidden="false" customHeight="true" outlineLevel="0" collapsed="false">
      <c r="C623" s="83"/>
      <c r="D623" s="83"/>
    </row>
    <row r="624" customFormat="false" ht="15.75" hidden="false" customHeight="true" outlineLevel="0" collapsed="false">
      <c r="C624" s="83"/>
      <c r="D624" s="83"/>
    </row>
    <row r="625" customFormat="false" ht="15.75" hidden="false" customHeight="true" outlineLevel="0" collapsed="false">
      <c r="C625" s="83"/>
      <c r="D625" s="83"/>
    </row>
    <row r="626" customFormat="false" ht="15.75" hidden="false" customHeight="true" outlineLevel="0" collapsed="false">
      <c r="C626" s="83"/>
      <c r="D626" s="83"/>
    </row>
    <row r="627" customFormat="false" ht="15.75" hidden="false" customHeight="true" outlineLevel="0" collapsed="false">
      <c r="C627" s="83"/>
      <c r="D627" s="83"/>
    </row>
    <row r="628" customFormat="false" ht="15.75" hidden="false" customHeight="true" outlineLevel="0" collapsed="false">
      <c r="C628" s="83"/>
      <c r="D628" s="83"/>
    </row>
    <row r="629" customFormat="false" ht="15.75" hidden="false" customHeight="true" outlineLevel="0" collapsed="false">
      <c r="C629" s="83"/>
      <c r="D629" s="83"/>
    </row>
    <row r="630" customFormat="false" ht="15.75" hidden="false" customHeight="true" outlineLevel="0" collapsed="false">
      <c r="C630" s="83"/>
      <c r="D630" s="83"/>
    </row>
    <row r="631" customFormat="false" ht="15.75" hidden="false" customHeight="true" outlineLevel="0" collapsed="false">
      <c r="C631" s="83"/>
      <c r="D631" s="83"/>
    </row>
    <row r="632" customFormat="false" ht="15.75" hidden="false" customHeight="true" outlineLevel="0" collapsed="false">
      <c r="C632" s="83"/>
      <c r="D632" s="83"/>
    </row>
    <row r="633" customFormat="false" ht="15.75" hidden="false" customHeight="true" outlineLevel="0" collapsed="false">
      <c r="C633" s="83"/>
      <c r="D633" s="83"/>
    </row>
    <row r="634" customFormat="false" ht="15.75" hidden="false" customHeight="true" outlineLevel="0" collapsed="false">
      <c r="C634" s="83"/>
      <c r="D634" s="83"/>
    </row>
    <row r="635" customFormat="false" ht="15.75" hidden="false" customHeight="true" outlineLevel="0" collapsed="false">
      <c r="C635" s="83"/>
      <c r="D635" s="83"/>
    </row>
    <row r="636" customFormat="false" ht="15.75" hidden="false" customHeight="true" outlineLevel="0" collapsed="false">
      <c r="C636" s="83"/>
      <c r="D636" s="83"/>
    </row>
    <row r="637" customFormat="false" ht="15.75" hidden="false" customHeight="true" outlineLevel="0" collapsed="false">
      <c r="C637" s="83"/>
      <c r="D637" s="83"/>
    </row>
    <row r="638" customFormat="false" ht="15.75" hidden="false" customHeight="true" outlineLevel="0" collapsed="false">
      <c r="C638" s="83"/>
      <c r="D638" s="83"/>
    </row>
    <row r="639" customFormat="false" ht="15.75" hidden="false" customHeight="true" outlineLevel="0" collapsed="false">
      <c r="C639" s="83"/>
      <c r="D639" s="83"/>
    </row>
    <row r="640" customFormat="false" ht="15.75" hidden="false" customHeight="true" outlineLevel="0" collapsed="false">
      <c r="C640" s="83"/>
      <c r="D640" s="83"/>
    </row>
    <row r="641" customFormat="false" ht="15.75" hidden="false" customHeight="true" outlineLevel="0" collapsed="false">
      <c r="C641" s="83"/>
      <c r="D641" s="83"/>
    </row>
    <row r="642" customFormat="false" ht="15.75" hidden="false" customHeight="true" outlineLevel="0" collapsed="false">
      <c r="C642" s="83"/>
      <c r="D642" s="83"/>
    </row>
    <row r="643" customFormat="false" ht="15.75" hidden="false" customHeight="true" outlineLevel="0" collapsed="false">
      <c r="C643" s="83"/>
      <c r="D643" s="83"/>
    </row>
    <row r="644" customFormat="false" ht="15.75" hidden="false" customHeight="true" outlineLevel="0" collapsed="false">
      <c r="C644" s="83"/>
      <c r="D644" s="83"/>
    </row>
    <row r="645" customFormat="false" ht="15.75" hidden="false" customHeight="true" outlineLevel="0" collapsed="false">
      <c r="C645" s="83"/>
      <c r="D645" s="83"/>
    </row>
    <row r="646" customFormat="false" ht="15.75" hidden="false" customHeight="true" outlineLevel="0" collapsed="false">
      <c r="C646" s="83"/>
      <c r="D646" s="83"/>
    </row>
    <row r="647" customFormat="false" ht="15.75" hidden="false" customHeight="true" outlineLevel="0" collapsed="false">
      <c r="C647" s="83"/>
      <c r="D647" s="83"/>
    </row>
    <row r="648" customFormat="false" ht="15.75" hidden="false" customHeight="true" outlineLevel="0" collapsed="false">
      <c r="C648" s="83"/>
      <c r="D648" s="83"/>
    </row>
    <row r="649" customFormat="false" ht="15.75" hidden="false" customHeight="true" outlineLevel="0" collapsed="false">
      <c r="C649" s="83"/>
      <c r="D649" s="83"/>
    </row>
    <row r="650" customFormat="false" ht="15.75" hidden="false" customHeight="true" outlineLevel="0" collapsed="false">
      <c r="C650" s="83"/>
      <c r="D650" s="83"/>
    </row>
    <row r="651" customFormat="false" ht="15.75" hidden="false" customHeight="true" outlineLevel="0" collapsed="false">
      <c r="C651" s="83"/>
      <c r="D651" s="83"/>
    </row>
    <row r="652" customFormat="false" ht="15.75" hidden="false" customHeight="true" outlineLevel="0" collapsed="false">
      <c r="C652" s="83"/>
      <c r="D652" s="83"/>
    </row>
    <row r="653" customFormat="false" ht="15.75" hidden="false" customHeight="true" outlineLevel="0" collapsed="false">
      <c r="C653" s="83"/>
      <c r="D653" s="83"/>
    </row>
    <row r="654" customFormat="false" ht="15.75" hidden="false" customHeight="true" outlineLevel="0" collapsed="false">
      <c r="C654" s="83"/>
      <c r="D654" s="83"/>
    </row>
    <row r="655" customFormat="false" ht="15.75" hidden="false" customHeight="true" outlineLevel="0" collapsed="false">
      <c r="C655" s="83"/>
      <c r="D655" s="83"/>
    </row>
    <row r="656" customFormat="false" ht="15.75" hidden="false" customHeight="true" outlineLevel="0" collapsed="false">
      <c r="C656" s="83"/>
      <c r="D656" s="83"/>
    </row>
    <row r="657" customFormat="false" ht="15.75" hidden="false" customHeight="true" outlineLevel="0" collapsed="false">
      <c r="C657" s="83"/>
      <c r="D657" s="83"/>
    </row>
    <row r="658" customFormat="false" ht="15.75" hidden="false" customHeight="true" outlineLevel="0" collapsed="false">
      <c r="C658" s="83"/>
      <c r="D658" s="83"/>
    </row>
    <row r="659" customFormat="false" ht="15.75" hidden="false" customHeight="true" outlineLevel="0" collapsed="false">
      <c r="C659" s="83"/>
      <c r="D659" s="83"/>
    </row>
    <row r="660" customFormat="false" ht="15.75" hidden="false" customHeight="true" outlineLevel="0" collapsed="false">
      <c r="C660" s="83"/>
      <c r="D660" s="83"/>
    </row>
    <row r="661" customFormat="false" ht="15.75" hidden="false" customHeight="true" outlineLevel="0" collapsed="false">
      <c r="C661" s="83"/>
      <c r="D661" s="83"/>
    </row>
    <row r="662" customFormat="false" ht="15.75" hidden="false" customHeight="true" outlineLevel="0" collapsed="false">
      <c r="C662" s="83"/>
      <c r="D662" s="83"/>
    </row>
    <row r="663" customFormat="false" ht="15.75" hidden="false" customHeight="true" outlineLevel="0" collapsed="false">
      <c r="C663" s="83"/>
      <c r="D663" s="83"/>
    </row>
    <row r="664" customFormat="false" ht="15.75" hidden="false" customHeight="true" outlineLevel="0" collapsed="false">
      <c r="C664" s="83"/>
      <c r="D664" s="83"/>
    </row>
    <row r="665" customFormat="false" ht="15.75" hidden="false" customHeight="true" outlineLevel="0" collapsed="false">
      <c r="C665" s="83"/>
      <c r="D665" s="83"/>
    </row>
    <row r="666" customFormat="false" ht="15.75" hidden="false" customHeight="true" outlineLevel="0" collapsed="false">
      <c r="C666" s="83"/>
      <c r="D666" s="83"/>
    </row>
    <row r="667" customFormat="false" ht="15.75" hidden="false" customHeight="true" outlineLevel="0" collapsed="false">
      <c r="C667" s="83"/>
      <c r="D667" s="83"/>
    </row>
    <row r="668" customFormat="false" ht="15.75" hidden="false" customHeight="true" outlineLevel="0" collapsed="false">
      <c r="C668" s="83"/>
      <c r="D668" s="83"/>
    </row>
    <row r="669" customFormat="false" ht="15.75" hidden="false" customHeight="true" outlineLevel="0" collapsed="false">
      <c r="C669" s="83"/>
      <c r="D669" s="83"/>
    </row>
    <row r="670" customFormat="false" ht="15.75" hidden="false" customHeight="true" outlineLevel="0" collapsed="false">
      <c r="C670" s="83"/>
      <c r="D670" s="83"/>
    </row>
    <row r="671" customFormat="false" ht="15.75" hidden="false" customHeight="true" outlineLevel="0" collapsed="false">
      <c r="C671" s="83"/>
      <c r="D671" s="83"/>
    </row>
    <row r="672" customFormat="false" ht="15.75" hidden="false" customHeight="true" outlineLevel="0" collapsed="false">
      <c r="C672" s="83"/>
      <c r="D672" s="83"/>
    </row>
    <row r="673" customFormat="false" ht="15.75" hidden="false" customHeight="true" outlineLevel="0" collapsed="false">
      <c r="C673" s="83"/>
      <c r="D673" s="83"/>
    </row>
    <row r="674" customFormat="false" ht="15.75" hidden="false" customHeight="true" outlineLevel="0" collapsed="false">
      <c r="C674" s="83"/>
      <c r="D674" s="83"/>
    </row>
    <row r="675" customFormat="false" ht="15.75" hidden="false" customHeight="true" outlineLevel="0" collapsed="false">
      <c r="C675" s="83"/>
      <c r="D675" s="83"/>
    </row>
    <row r="676" customFormat="false" ht="15.75" hidden="false" customHeight="true" outlineLevel="0" collapsed="false">
      <c r="C676" s="83"/>
      <c r="D676" s="83"/>
    </row>
    <row r="677" customFormat="false" ht="15.75" hidden="false" customHeight="true" outlineLevel="0" collapsed="false">
      <c r="C677" s="83"/>
      <c r="D677" s="83"/>
    </row>
    <row r="678" customFormat="false" ht="15.75" hidden="false" customHeight="true" outlineLevel="0" collapsed="false">
      <c r="C678" s="83"/>
      <c r="D678" s="83"/>
    </row>
    <row r="679" customFormat="false" ht="15.75" hidden="false" customHeight="true" outlineLevel="0" collapsed="false">
      <c r="C679" s="83"/>
      <c r="D679" s="83"/>
    </row>
    <row r="680" customFormat="false" ht="15.75" hidden="false" customHeight="true" outlineLevel="0" collapsed="false">
      <c r="C680" s="83"/>
      <c r="D680" s="83"/>
    </row>
    <row r="681" customFormat="false" ht="15.75" hidden="false" customHeight="true" outlineLevel="0" collapsed="false">
      <c r="C681" s="83"/>
      <c r="D681" s="83"/>
    </row>
    <row r="682" customFormat="false" ht="15.75" hidden="false" customHeight="true" outlineLevel="0" collapsed="false">
      <c r="C682" s="83"/>
      <c r="D682" s="83"/>
    </row>
    <row r="683" customFormat="false" ht="15.75" hidden="false" customHeight="true" outlineLevel="0" collapsed="false">
      <c r="C683" s="83"/>
      <c r="D683" s="83"/>
    </row>
    <row r="684" customFormat="false" ht="15.75" hidden="false" customHeight="true" outlineLevel="0" collapsed="false">
      <c r="C684" s="83"/>
      <c r="D684" s="83"/>
    </row>
    <row r="685" customFormat="false" ht="15.75" hidden="false" customHeight="true" outlineLevel="0" collapsed="false">
      <c r="C685" s="83"/>
      <c r="D685" s="83"/>
    </row>
    <row r="686" customFormat="false" ht="15.75" hidden="false" customHeight="true" outlineLevel="0" collapsed="false">
      <c r="C686" s="83"/>
      <c r="D686" s="83"/>
    </row>
    <row r="687" customFormat="false" ht="15.75" hidden="false" customHeight="true" outlineLevel="0" collapsed="false">
      <c r="C687" s="83"/>
      <c r="D687" s="83"/>
    </row>
    <row r="688" customFormat="false" ht="15.75" hidden="false" customHeight="true" outlineLevel="0" collapsed="false">
      <c r="C688" s="83"/>
      <c r="D688" s="83"/>
    </row>
    <row r="689" customFormat="false" ht="15.75" hidden="false" customHeight="true" outlineLevel="0" collapsed="false">
      <c r="C689" s="83"/>
      <c r="D689" s="83"/>
    </row>
    <row r="690" customFormat="false" ht="15.75" hidden="false" customHeight="true" outlineLevel="0" collapsed="false">
      <c r="C690" s="83"/>
      <c r="D690" s="83"/>
    </row>
    <row r="691" customFormat="false" ht="15.75" hidden="false" customHeight="true" outlineLevel="0" collapsed="false">
      <c r="C691" s="83"/>
      <c r="D691" s="83"/>
    </row>
    <row r="692" customFormat="false" ht="15.75" hidden="false" customHeight="true" outlineLevel="0" collapsed="false">
      <c r="C692" s="83"/>
      <c r="D692" s="83"/>
    </row>
    <row r="693" customFormat="false" ht="15.75" hidden="false" customHeight="true" outlineLevel="0" collapsed="false">
      <c r="C693" s="83"/>
      <c r="D693" s="83"/>
    </row>
    <row r="694" customFormat="false" ht="15.75" hidden="false" customHeight="true" outlineLevel="0" collapsed="false">
      <c r="C694" s="83"/>
      <c r="D694" s="83"/>
    </row>
    <row r="695" customFormat="false" ht="15.75" hidden="false" customHeight="true" outlineLevel="0" collapsed="false">
      <c r="C695" s="83"/>
      <c r="D695" s="83"/>
    </row>
    <row r="696" customFormat="false" ht="15.75" hidden="false" customHeight="true" outlineLevel="0" collapsed="false">
      <c r="C696" s="83"/>
      <c r="D696" s="83"/>
    </row>
    <row r="697" customFormat="false" ht="15.75" hidden="false" customHeight="true" outlineLevel="0" collapsed="false">
      <c r="C697" s="83"/>
      <c r="D697" s="83"/>
    </row>
    <row r="698" customFormat="false" ht="15.75" hidden="false" customHeight="true" outlineLevel="0" collapsed="false">
      <c r="C698" s="83"/>
      <c r="D698" s="83"/>
    </row>
    <row r="699" customFormat="false" ht="15.75" hidden="false" customHeight="true" outlineLevel="0" collapsed="false">
      <c r="C699" s="83"/>
      <c r="D699" s="83"/>
    </row>
    <row r="700" customFormat="false" ht="15.75" hidden="false" customHeight="true" outlineLevel="0" collapsed="false">
      <c r="C700" s="83"/>
      <c r="D700" s="83"/>
    </row>
    <row r="701" customFormat="false" ht="15.75" hidden="false" customHeight="true" outlineLevel="0" collapsed="false">
      <c r="C701" s="83"/>
      <c r="D701" s="83"/>
    </row>
    <row r="702" customFormat="false" ht="15.75" hidden="false" customHeight="true" outlineLevel="0" collapsed="false">
      <c r="C702" s="83"/>
      <c r="D702" s="83"/>
    </row>
    <row r="703" customFormat="false" ht="15.75" hidden="false" customHeight="true" outlineLevel="0" collapsed="false">
      <c r="C703" s="83"/>
      <c r="D703" s="83"/>
    </row>
    <row r="704" customFormat="false" ht="15.75" hidden="false" customHeight="true" outlineLevel="0" collapsed="false">
      <c r="C704" s="83"/>
      <c r="D704" s="83"/>
    </row>
    <row r="705" customFormat="false" ht="15.75" hidden="false" customHeight="true" outlineLevel="0" collapsed="false">
      <c r="C705" s="83"/>
      <c r="D705" s="83"/>
    </row>
    <row r="706" customFormat="false" ht="15.75" hidden="false" customHeight="true" outlineLevel="0" collapsed="false">
      <c r="C706" s="83"/>
      <c r="D706" s="83"/>
    </row>
    <row r="707" customFormat="false" ht="15.75" hidden="false" customHeight="true" outlineLevel="0" collapsed="false">
      <c r="C707" s="83"/>
      <c r="D707" s="83"/>
    </row>
    <row r="708" customFormat="false" ht="15.75" hidden="false" customHeight="true" outlineLevel="0" collapsed="false">
      <c r="C708" s="83"/>
      <c r="D708" s="83"/>
    </row>
    <row r="709" customFormat="false" ht="15.75" hidden="false" customHeight="true" outlineLevel="0" collapsed="false">
      <c r="C709" s="83"/>
      <c r="D709" s="83"/>
    </row>
    <row r="710" customFormat="false" ht="15.75" hidden="false" customHeight="true" outlineLevel="0" collapsed="false">
      <c r="C710" s="83"/>
      <c r="D710" s="83"/>
    </row>
    <row r="711" customFormat="false" ht="15.75" hidden="false" customHeight="true" outlineLevel="0" collapsed="false">
      <c r="C711" s="83"/>
      <c r="D711" s="83"/>
    </row>
    <row r="712" customFormat="false" ht="15.75" hidden="false" customHeight="true" outlineLevel="0" collapsed="false">
      <c r="C712" s="83"/>
      <c r="D712" s="83"/>
    </row>
    <row r="713" customFormat="false" ht="15.75" hidden="false" customHeight="true" outlineLevel="0" collapsed="false">
      <c r="C713" s="83"/>
      <c r="D713" s="83"/>
    </row>
    <row r="714" customFormat="false" ht="15.75" hidden="false" customHeight="true" outlineLevel="0" collapsed="false">
      <c r="C714" s="83"/>
      <c r="D714" s="83"/>
    </row>
    <row r="715" customFormat="false" ht="15.75" hidden="false" customHeight="true" outlineLevel="0" collapsed="false">
      <c r="C715" s="83"/>
      <c r="D715" s="83"/>
    </row>
    <row r="716" customFormat="false" ht="15.75" hidden="false" customHeight="true" outlineLevel="0" collapsed="false">
      <c r="C716" s="83"/>
      <c r="D716" s="83"/>
    </row>
    <row r="717" customFormat="false" ht="15.75" hidden="false" customHeight="true" outlineLevel="0" collapsed="false">
      <c r="C717" s="83"/>
      <c r="D717" s="83"/>
    </row>
    <row r="718" customFormat="false" ht="15.75" hidden="false" customHeight="true" outlineLevel="0" collapsed="false">
      <c r="C718" s="83"/>
      <c r="D718" s="83"/>
    </row>
    <row r="719" customFormat="false" ht="15.75" hidden="false" customHeight="true" outlineLevel="0" collapsed="false">
      <c r="C719" s="83"/>
      <c r="D719" s="83"/>
    </row>
    <row r="720" customFormat="false" ht="15.75" hidden="false" customHeight="true" outlineLevel="0" collapsed="false">
      <c r="C720" s="83"/>
      <c r="D720" s="83"/>
    </row>
    <row r="721" customFormat="false" ht="15.75" hidden="false" customHeight="true" outlineLevel="0" collapsed="false">
      <c r="C721" s="83"/>
      <c r="D721" s="83"/>
    </row>
    <row r="722" customFormat="false" ht="15.75" hidden="false" customHeight="true" outlineLevel="0" collapsed="false">
      <c r="C722" s="83"/>
      <c r="D722" s="83"/>
    </row>
    <row r="723" customFormat="false" ht="15.75" hidden="false" customHeight="true" outlineLevel="0" collapsed="false">
      <c r="C723" s="83"/>
      <c r="D723" s="83"/>
    </row>
    <row r="724" customFormat="false" ht="15.75" hidden="false" customHeight="true" outlineLevel="0" collapsed="false">
      <c r="C724" s="83"/>
      <c r="D724" s="83"/>
    </row>
    <row r="725" customFormat="false" ht="15.75" hidden="false" customHeight="true" outlineLevel="0" collapsed="false">
      <c r="C725" s="83"/>
      <c r="D725" s="83"/>
    </row>
    <row r="726" customFormat="false" ht="15.75" hidden="false" customHeight="true" outlineLevel="0" collapsed="false">
      <c r="C726" s="83"/>
      <c r="D726" s="83"/>
    </row>
    <row r="727" customFormat="false" ht="15.75" hidden="false" customHeight="true" outlineLevel="0" collapsed="false">
      <c r="C727" s="83"/>
      <c r="D727" s="83"/>
    </row>
    <row r="728" customFormat="false" ht="15.75" hidden="false" customHeight="true" outlineLevel="0" collapsed="false">
      <c r="C728" s="83"/>
      <c r="D728" s="83"/>
    </row>
    <row r="729" customFormat="false" ht="15.75" hidden="false" customHeight="true" outlineLevel="0" collapsed="false">
      <c r="C729" s="83"/>
      <c r="D729" s="83"/>
    </row>
    <row r="730" customFormat="false" ht="15.75" hidden="false" customHeight="true" outlineLevel="0" collapsed="false">
      <c r="C730" s="83"/>
      <c r="D730" s="83"/>
    </row>
    <row r="731" customFormat="false" ht="15.75" hidden="false" customHeight="true" outlineLevel="0" collapsed="false">
      <c r="C731" s="83"/>
      <c r="D731" s="83"/>
    </row>
    <row r="732" customFormat="false" ht="15.75" hidden="false" customHeight="true" outlineLevel="0" collapsed="false">
      <c r="C732" s="83"/>
      <c r="D732" s="83"/>
    </row>
    <row r="733" customFormat="false" ht="15.75" hidden="false" customHeight="true" outlineLevel="0" collapsed="false">
      <c r="C733" s="83"/>
      <c r="D733" s="83"/>
    </row>
    <row r="734" customFormat="false" ht="15.75" hidden="false" customHeight="true" outlineLevel="0" collapsed="false">
      <c r="C734" s="83"/>
      <c r="D734" s="83"/>
    </row>
    <row r="735" customFormat="false" ht="15.75" hidden="false" customHeight="true" outlineLevel="0" collapsed="false">
      <c r="C735" s="83"/>
      <c r="D735" s="83"/>
    </row>
    <row r="736" customFormat="false" ht="15.75" hidden="false" customHeight="true" outlineLevel="0" collapsed="false">
      <c r="C736" s="83"/>
      <c r="D736" s="83"/>
    </row>
    <row r="737" customFormat="false" ht="15.75" hidden="false" customHeight="true" outlineLevel="0" collapsed="false">
      <c r="C737" s="83"/>
      <c r="D737" s="83"/>
    </row>
    <row r="738" customFormat="false" ht="15.75" hidden="false" customHeight="true" outlineLevel="0" collapsed="false">
      <c r="C738" s="83"/>
      <c r="D738" s="83"/>
    </row>
    <row r="739" customFormat="false" ht="15.75" hidden="false" customHeight="true" outlineLevel="0" collapsed="false">
      <c r="C739" s="83"/>
      <c r="D739" s="83"/>
    </row>
    <row r="740" customFormat="false" ht="15.75" hidden="false" customHeight="true" outlineLevel="0" collapsed="false">
      <c r="C740" s="83"/>
      <c r="D740" s="83"/>
    </row>
    <row r="741" customFormat="false" ht="15.75" hidden="false" customHeight="true" outlineLevel="0" collapsed="false">
      <c r="C741" s="83"/>
      <c r="D741" s="83"/>
    </row>
    <row r="742" customFormat="false" ht="15.75" hidden="false" customHeight="true" outlineLevel="0" collapsed="false">
      <c r="C742" s="83"/>
      <c r="D742" s="83"/>
    </row>
    <row r="743" customFormat="false" ht="15.75" hidden="false" customHeight="true" outlineLevel="0" collapsed="false">
      <c r="C743" s="83"/>
      <c r="D743" s="83"/>
    </row>
    <row r="744" customFormat="false" ht="15.75" hidden="false" customHeight="true" outlineLevel="0" collapsed="false">
      <c r="C744" s="83"/>
      <c r="D744" s="83"/>
    </row>
    <row r="745" customFormat="false" ht="15.75" hidden="false" customHeight="true" outlineLevel="0" collapsed="false">
      <c r="C745" s="83"/>
      <c r="D745" s="83"/>
    </row>
    <row r="746" customFormat="false" ht="15.75" hidden="false" customHeight="true" outlineLevel="0" collapsed="false">
      <c r="C746" s="83"/>
      <c r="D746" s="83"/>
    </row>
    <row r="747" customFormat="false" ht="15.75" hidden="false" customHeight="true" outlineLevel="0" collapsed="false">
      <c r="C747" s="83"/>
      <c r="D747" s="83"/>
    </row>
    <row r="748" customFormat="false" ht="15.75" hidden="false" customHeight="true" outlineLevel="0" collapsed="false">
      <c r="C748" s="83"/>
      <c r="D748" s="83"/>
    </row>
    <row r="749" customFormat="false" ht="15.75" hidden="false" customHeight="true" outlineLevel="0" collapsed="false">
      <c r="C749" s="83"/>
      <c r="D749" s="83"/>
    </row>
    <row r="750" customFormat="false" ht="15.75" hidden="false" customHeight="true" outlineLevel="0" collapsed="false">
      <c r="C750" s="83"/>
      <c r="D750" s="83"/>
    </row>
    <row r="751" customFormat="false" ht="15.75" hidden="false" customHeight="true" outlineLevel="0" collapsed="false">
      <c r="C751" s="83"/>
      <c r="D751" s="83"/>
    </row>
    <row r="752" customFormat="false" ht="15.75" hidden="false" customHeight="true" outlineLevel="0" collapsed="false">
      <c r="C752" s="83"/>
      <c r="D752" s="83"/>
    </row>
    <row r="753" customFormat="false" ht="15.75" hidden="false" customHeight="true" outlineLevel="0" collapsed="false">
      <c r="C753" s="83"/>
      <c r="D753" s="83"/>
    </row>
    <row r="754" customFormat="false" ht="15.75" hidden="false" customHeight="true" outlineLevel="0" collapsed="false">
      <c r="C754" s="83"/>
      <c r="D754" s="83"/>
    </row>
    <row r="755" customFormat="false" ht="15.75" hidden="false" customHeight="true" outlineLevel="0" collapsed="false">
      <c r="C755" s="83"/>
      <c r="D755" s="83"/>
    </row>
    <row r="756" customFormat="false" ht="15.75" hidden="false" customHeight="true" outlineLevel="0" collapsed="false">
      <c r="C756" s="83"/>
      <c r="D756" s="83"/>
    </row>
    <row r="757" customFormat="false" ht="15.75" hidden="false" customHeight="true" outlineLevel="0" collapsed="false">
      <c r="C757" s="83"/>
      <c r="D757" s="83"/>
    </row>
    <row r="758" customFormat="false" ht="15.75" hidden="false" customHeight="true" outlineLevel="0" collapsed="false">
      <c r="C758" s="83"/>
      <c r="D758" s="83"/>
    </row>
    <row r="759" customFormat="false" ht="15.75" hidden="false" customHeight="true" outlineLevel="0" collapsed="false">
      <c r="C759" s="83"/>
      <c r="D759" s="83"/>
    </row>
    <row r="760" customFormat="false" ht="15.75" hidden="false" customHeight="true" outlineLevel="0" collapsed="false">
      <c r="C760" s="83"/>
      <c r="D760" s="83"/>
    </row>
    <row r="761" customFormat="false" ht="15.75" hidden="false" customHeight="true" outlineLevel="0" collapsed="false">
      <c r="C761" s="83"/>
      <c r="D761" s="83"/>
    </row>
    <row r="762" customFormat="false" ht="15.75" hidden="false" customHeight="true" outlineLevel="0" collapsed="false">
      <c r="C762" s="83"/>
      <c r="D762" s="83"/>
    </row>
    <row r="763" customFormat="false" ht="15.75" hidden="false" customHeight="true" outlineLevel="0" collapsed="false">
      <c r="C763" s="83"/>
      <c r="D763" s="83"/>
    </row>
    <row r="764" customFormat="false" ht="15.75" hidden="false" customHeight="true" outlineLevel="0" collapsed="false">
      <c r="C764" s="83"/>
      <c r="D764" s="83"/>
    </row>
    <row r="765" customFormat="false" ht="15.75" hidden="false" customHeight="true" outlineLevel="0" collapsed="false">
      <c r="C765" s="83"/>
      <c r="D765" s="83"/>
    </row>
    <row r="766" customFormat="false" ht="15.75" hidden="false" customHeight="true" outlineLevel="0" collapsed="false">
      <c r="C766" s="83"/>
      <c r="D766" s="83"/>
    </row>
    <row r="767" customFormat="false" ht="15.75" hidden="false" customHeight="true" outlineLevel="0" collapsed="false">
      <c r="C767" s="83"/>
      <c r="D767" s="83"/>
    </row>
    <row r="768" customFormat="false" ht="15.75" hidden="false" customHeight="true" outlineLevel="0" collapsed="false">
      <c r="C768" s="83"/>
      <c r="D768" s="83"/>
    </row>
    <row r="769" customFormat="false" ht="15.75" hidden="false" customHeight="true" outlineLevel="0" collapsed="false">
      <c r="C769" s="83"/>
      <c r="D769" s="83"/>
    </row>
    <row r="770" customFormat="false" ht="15.75" hidden="false" customHeight="true" outlineLevel="0" collapsed="false">
      <c r="C770" s="83"/>
      <c r="D770" s="83"/>
    </row>
    <row r="771" customFormat="false" ht="15.75" hidden="false" customHeight="true" outlineLevel="0" collapsed="false">
      <c r="C771" s="83"/>
      <c r="D771" s="83"/>
    </row>
    <row r="772" customFormat="false" ht="15.75" hidden="false" customHeight="true" outlineLevel="0" collapsed="false">
      <c r="C772" s="83"/>
      <c r="D772" s="83"/>
    </row>
    <row r="773" customFormat="false" ht="15.75" hidden="false" customHeight="true" outlineLevel="0" collapsed="false">
      <c r="C773" s="83"/>
      <c r="D773" s="83"/>
    </row>
    <row r="774" customFormat="false" ht="15.75" hidden="false" customHeight="true" outlineLevel="0" collapsed="false">
      <c r="C774" s="83"/>
      <c r="D774" s="83"/>
    </row>
    <row r="775" customFormat="false" ht="15.75" hidden="false" customHeight="true" outlineLevel="0" collapsed="false">
      <c r="C775" s="83"/>
      <c r="D775" s="83"/>
    </row>
    <row r="776" customFormat="false" ht="15.75" hidden="false" customHeight="true" outlineLevel="0" collapsed="false">
      <c r="C776" s="83"/>
      <c r="D776" s="83"/>
    </row>
    <row r="777" customFormat="false" ht="15.75" hidden="false" customHeight="true" outlineLevel="0" collapsed="false">
      <c r="C777" s="83"/>
      <c r="D777" s="83"/>
    </row>
    <row r="778" customFormat="false" ht="15.75" hidden="false" customHeight="true" outlineLevel="0" collapsed="false">
      <c r="C778" s="83"/>
      <c r="D778" s="83"/>
    </row>
    <row r="779" customFormat="false" ht="15.75" hidden="false" customHeight="true" outlineLevel="0" collapsed="false">
      <c r="C779" s="83"/>
      <c r="D779" s="83"/>
    </row>
    <row r="780" customFormat="false" ht="15.75" hidden="false" customHeight="true" outlineLevel="0" collapsed="false">
      <c r="C780" s="83"/>
      <c r="D780" s="83"/>
    </row>
    <row r="781" customFormat="false" ht="15.75" hidden="false" customHeight="true" outlineLevel="0" collapsed="false">
      <c r="C781" s="83"/>
      <c r="D781" s="83"/>
    </row>
    <row r="782" customFormat="false" ht="15.75" hidden="false" customHeight="true" outlineLevel="0" collapsed="false">
      <c r="C782" s="83"/>
      <c r="D782" s="83"/>
    </row>
    <row r="783" customFormat="false" ht="15.75" hidden="false" customHeight="true" outlineLevel="0" collapsed="false">
      <c r="C783" s="83"/>
      <c r="D783" s="83"/>
    </row>
    <row r="784" customFormat="false" ht="15.75" hidden="false" customHeight="true" outlineLevel="0" collapsed="false">
      <c r="C784" s="83"/>
      <c r="D784" s="83"/>
    </row>
    <row r="785" customFormat="false" ht="15.75" hidden="false" customHeight="true" outlineLevel="0" collapsed="false">
      <c r="C785" s="83"/>
      <c r="D785" s="83"/>
    </row>
    <row r="786" customFormat="false" ht="15.75" hidden="false" customHeight="true" outlineLevel="0" collapsed="false">
      <c r="C786" s="83"/>
      <c r="D786" s="83"/>
    </row>
    <row r="787" customFormat="false" ht="15.75" hidden="false" customHeight="true" outlineLevel="0" collapsed="false">
      <c r="C787" s="83"/>
      <c r="D787" s="83"/>
    </row>
    <row r="788" customFormat="false" ht="15.75" hidden="false" customHeight="true" outlineLevel="0" collapsed="false">
      <c r="C788" s="83"/>
      <c r="D788" s="83"/>
    </row>
    <row r="789" customFormat="false" ht="15.75" hidden="false" customHeight="true" outlineLevel="0" collapsed="false">
      <c r="C789" s="83"/>
      <c r="D789" s="83"/>
    </row>
    <row r="790" customFormat="false" ht="15.75" hidden="false" customHeight="true" outlineLevel="0" collapsed="false">
      <c r="C790" s="83"/>
      <c r="D790" s="83"/>
    </row>
    <row r="791" customFormat="false" ht="15.75" hidden="false" customHeight="true" outlineLevel="0" collapsed="false">
      <c r="C791" s="83"/>
      <c r="D791" s="83"/>
    </row>
    <row r="792" customFormat="false" ht="15.75" hidden="false" customHeight="true" outlineLevel="0" collapsed="false">
      <c r="C792" s="83"/>
      <c r="D792" s="83"/>
    </row>
    <row r="793" customFormat="false" ht="15.75" hidden="false" customHeight="true" outlineLevel="0" collapsed="false">
      <c r="C793" s="83"/>
      <c r="D793" s="83"/>
    </row>
    <row r="794" customFormat="false" ht="15.75" hidden="false" customHeight="true" outlineLevel="0" collapsed="false">
      <c r="C794" s="83"/>
      <c r="D794" s="83"/>
    </row>
    <row r="795" customFormat="false" ht="15.75" hidden="false" customHeight="true" outlineLevel="0" collapsed="false">
      <c r="C795" s="83"/>
      <c r="D795" s="83"/>
    </row>
    <row r="796" customFormat="false" ht="15.75" hidden="false" customHeight="true" outlineLevel="0" collapsed="false">
      <c r="C796" s="83"/>
      <c r="D796" s="83"/>
    </row>
    <row r="797" customFormat="false" ht="15.75" hidden="false" customHeight="true" outlineLevel="0" collapsed="false">
      <c r="C797" s="83"/>
      <c r="D797" s="83"/>
    </row>
    <row r="798" customFormat="false" ht="15.75" hidden="false" customHeight="true" outlineLevel="0" collapsed="false">
      <c r="C798" s="83"/>
      <c r="D798" s="83"/>
    </row>
    <row r="799" customFormat="false" ht="15.75" hidden="false" customHeight="true" outlineLevel="0" collapsed="false">
      <c r="C799" s="83"/>
      <c r="D799" s="83"/>
    </row>
    <row r="800" customFormat="false" ht="15.75" hidden="false" customHeight="true" outlineLevel="0" collapsed="false">
      <c r="C800" s="83"/>
      <c r="D800" s="83"/>
    </row>
    <row r="801" customFormat="false" ht="15.75" hidden="false" customHeight="true" outlineLevel="0" collapsed="false">
      <c r="C801" s="83"/>
      <c r="D801" s="83"/>
    </row>
    <row r="802" customFormat="false" ht="15.75" hidden="false" customHeight="true" outlineLevel="0" collapsed="false">
      <c r="C802" s="83"/>
      <c r="D802" s="83"/>
    </row>
    <row r="803" customFormat="false" ht="15.75" hidden="false" customHeight="true" outlineLevel="0" collapsed="false">
      <c r="C803" s="83"/>
      <c r="D803" s="83"/>
    </row>
    <row r="804" customFormat="false" ht="15.75" hidden="false" customHeight="true" outlineLevel="0" collapsed="false">
      <c r="C804" s="83"/>
      <c r="D804" s="83"/>
    </row>
    <row r="805" customFormat="false" ht="15.75" hidden="false" customHeight="true" outlineLevel="0" collapsed="false">
      <c r="C805" s="83"/>
      <c r="D805" s="83"/>
    </row>
    <row r="806" customFormat="false" ht="15.75" hidden="false" customHeight="true" outlineLevel="0" collapsed="false">
      <c r="C806" s="83"/>
      <c r="D806" s="83"/>
    </row>
    <row r="807" customFormat="false" ht="15.75" hidden="false" customHeight="true" outlineLevel="0" collapsed="false">
      <c r="C807" s="83"/>
      <c r="D807" s="83"/>
    </row>
    <row r="808" customFormat="false" ht="15.75" hidden="false" customHeight="true" outlineLevel="0" collapsed="false">
      <c r="C808" s="83"/>
      <c r="D808" s="83"/>
    </row>
    <row r="809" customFormat="false" ht="15.75" hidden="false" customHeight="true" outlineLevel="0" collapsed="false">
      <c r="C809" s="83"/>
      <c r="D809" s="83"/>
    </row>
    <row r="810" customFormat="false" ht="15.75" hidden="false" customHeight="true" outlineLevel="0" collapsed="false">
      <c r="C810" s="83"/>
      <c r="D810" s="83"/>
    </row>
    <row r="811" customFormat="false" ht="15.75" hidden="false" customHeight="true" outlineLevel="0" collapsed="false">
      <c r="C811" s="83"/>
      <c r="D811" s="83"/>
    </row>
    <row r="812" customFormat="false" ht="15.75" hidden="false" customHeight="true" outlineLevel="0" collapsed="false">
      <c r="C812" s="83"/>
      <c r="D812" s="83"/>
    </row>
    <row r="813" customFormat="false" ht="15.75" hidden="false" customHeight="true" outlineLevel="0" collapsed="false">
      <c r="C813" s="83"/>
      <c r="D813" s="83"/>
    </row>
    <row r="814" customFormat="false" ht="15.75" hidden="false" customHeight="true" outlineLevel="0" collapsed="false">
      <c r="C814" s="83"/>
      <c r="D814" s="83"/>
    </row>
    <row r="815" customFormat="false" ht="15.75" hidden="false" customHeight="true" outlineLevel="0" collapsed="false">
      <c r="C815" s="83"/>
      <c r="D815" s="83"/>
    </row>
    <row r="816" customFormat="false" ht="15.75" hidden="false" customHeight="true" outlineLevel="0" collapsed="false">
      <c r="C816" s="83"/>
      <c r="D816" s="83"/>
    </row>
    <row r="817" customFormat="false" ht="15.75" hidden="false" customHeight="true" outlineLevel="0" collapsed="false">
      <c r="C817" s="83"/>
      <c r="D817" s="83"/>
    </row>
    <row r="818" customFormat="false" ht="15.75" hidden="false" customHeight="true" outlineLevel="0" collapsed="false">
      <c r="C818" s="83"/>
      <c r="D818" s="83"/>
    </row>
    <row r="819" customFormat="false" ht="15.75" hidden="false" customHeight="true" outlineLevel="0" collapsed="false">
      <c r="C819" s="83"/>
      <c r="D819" s="83"/>
    </row>
    <row r="820" customFormat="false" ht="15.75" hidden="false" customHeight="true" outlineLevel="0" collapsed="false">
      <c r="C820" s="83"/>
      <c r="D820" s="83"/>
    </row>
    <row r="821" customFormat="false" ht="15.75" hidden="false" customHeight="true" outlineLevel="0" collapsed="false">
      <c r="C821" s="83"/>
      <c r="D821" s="83"/>
    </row>
    <row r="822" customFormat="false" ht="15.75" hidden="false" customHeight="true" outlineLevel="0" collapsed="false">
      <c r="C822" s="83"/>
      <c r="D822" s="83"/>
    </row>
    <row r="823" customFormat="false" ht="15.75" hidden="false" customHeight="true" outlineLevel="0" collapsed="false">
      <c r="C823" s="83"/>
      <c r="D823" s="83"/>
    </row>
    <row r="824" customFormat="false" ht="15.75" hidden="false" customHeight="true" outlineLevel="0" collapsed="false">
      <c r="C824" s="83"/>
      <c r="D824" s="83"/>
    </row>
    <row r="825" customFormat="false" ht="15.75" hidden="false" customHeight="true" outlineLevel="0" collapsed="false">
      <c r="C825" s="83"/>
      <c r="D825" s="83"/>
    </row>
    <row r="826" customFormat="false" ht="15.75" hidden="false" customHeight="true" outlineLevel="0" collapsed="false">
      <c r="C826" s="83"/>
      <c r="D826" s="83"/>
    </row>
    <row r="827" customFormat="false" ht="15.75" hidden="false" customHeight="true" outlineLevel="0" collapsed="false">
      <c r="C827" s="83"/>
      <c r="D827" s="83"/>
    </row>
    <row r="828" customFormat="false" ht="15.75" hidden="false" customHeight="true" outlineLevel="0" collapsed="false">
      <c r="C828" s="83"/>
      <c r="D828" s="83"/>
    </row>
    <row r="829" customFormat="false" ht="15.75" hidden="false" customHeight="true" outlineLevel="0" collapsed="false">
      <c r="C829" s="83"/>
      <c r="D829" s="83"/>
    </row>
    <row r="830" customFormat="false" ht="15.75" hidden="false" customHeight="true" outlineLevel="0" collapsed="false">
      <c r="C830" s="83"/>
      <c r="D830" s="83"/>
    </row>
    <row r="831" customFormat="false" ht="15.75" hidden="false" customHeight="true" outlineLevel="0" collapsed="false">
      <c r="C831" s="83"/>
      <c r="D831" s="83"/>
    </row>
    <row r="832" customFormat="false" ht="15.75" hidden="false" customHeight="true" outlineLevel="0" collapsed="false">
      <c r="C832" s="83"/>
      <c r="D832" s="83"/>
    </row>
    <row r="833" customFormat="false" ht="15.75" hidden="false" customHeight="true" outlineLevel="0" collapsed="false">
      <c r="C833" s="83"/>
      <c r="D833" s="83"/>
    </row>
    <row r="834" customFormat="false" ht="15.75" hidden="false" customHeight="true" outlineLevel="0" collapsed="false">
      <c r="C834" s="83"/>
      <c r="D834" s="83"/>
    </row>
    <row r="835" customFormat="false" ht="15.75" hidden="false" customHeight="true" outlineLevel="0" collapsed="false">
      <c r="C835" s="83"/>
      <c r="D835" s="83"/>
    </row>
    <row r="836" customFormat="false" ht="15.75" hidden="false" customHeight="true" outlineLevel="0" collapsed="false">
      <c r="C836" s="83"/>
      <c r="D836" s="83"/>
    </row>
    <row r="837" customFormat="false" ht="15.75" hidden="false" customHeight="true" outlineLevel="0" collapsed="false">
      <c r="C837" s="83"/>
      <c r="D837" s="83"/>
    </row>
    <row r="838" customFormat="false" ht="15.75" hidden="false" customHeight="true" outlineLevel="0" collapsed="false">
      <c r="C838" s="83"/>
      <c r="D838" s="83"/>
    </row>
    <row r="839" customFormat="false" ht="15.75" hidden="false" customHeight="true" outlineLevel="0" collapsed="false">
      <c r="C839" s="83"/>
      <c r="D839" s="83"/>
    </row>
    <row r="840" customFormat="false" ht="15.75" hidden="false" customHeight="true" outlineLevel="0" collapsed="false">
      <c r="C840" s="83"/>
      <c r="D840" s="83"/>
    </row>
    <row r="841" customFormat="false" ht="15.75" hidden="false" customHeight="true" outlineLevel="0" collapsed="false">
      <c r="C841" s="83"/>
      <c r="D841" s="83"/>
    </row>
    <row r="842" customFormat="false" ht="15.75" hidden="false" customHeight="true" outlineLevel="0" collapsed="false">
      <c r="C842" s="83"/>
      <c r="D842" s="83"/>
    </row>
    <row r="843" customFormat="false" ht="15.75" hidden="false" customHeight="true" outlineLevel="0" collapsed="false">
      <c r="C843" s="83"/>
      <c r="D843" s="83"/>
    </row>
    <row r="844" customFormat="false" ht="15.75" hidden="false" customHeight="true" outlineLevel="0" collapsed="false">
      <c r="C844" s="83"/>
      <c r="D844" s="83"/>
    </row>
    <row r="845" customFormat="false" ht="15.75" hidden="false" customHeight="true" outlineLevel="0" collapsed="false">
      <c r="C845" s="83"/>
      <c r="D845" s="83"/>
    </row>
    <row r="846" customFormat="false" ht="15.75" hidden="false" customHeight="true" outlineLevel="0" collapsed="false">
      <c r="C846" s="83"/>
      <c r="D846" s="83"/>
    </row>
    <row r="847" customFormat="false" ht="15.75" hidden="false" customHeight="true" outlineLevel="0" collapsed="false">
      <c r="C847" s="83"/>
      <c r="D847" s="83"/>
    </row>
    <row r="848" customFormat="false" ht="15.75" hidden="false" customHeight="true" outlineLevel="0" collapsed="false">
      <c r="C848" s="83"/>
      <c r="D848" s="83"/>
    </row>
    <row r="849" customFormat="false" ht="15.75" hidden="false" customHeight="true" outlineLevel="0" collapsed="false">
      <c r="C849" s="83"/>
      <c r="D849" s="83"/>
    </row>
    <row r="850" customFormat="false" ht="15.75" hidden="false" customHeight="true" outlineLevel="0" collapsed="false">
      <c r="C850" s="83"/>
      <c r="D850" s="83"/>
    </row>
    <row r="851" customFormat="false" ht="15.75" hidden="false" customHeight="true" outlineLevel="0" collapsed="false">
      <c r="C851" s="83"/>
      <c r="D851" s="83"/>
    </row>
    <row r="852" customFormat="false" ht="15.75" hidden="false" customHeight="true" outlineLevel="0" collapsed="false">
      <c r="C852" s="83"/>
      <c r="D852" s="83"/>
    </row>
    <row r="853" customFormat="false" ht="15.75" hidden="false" customHeight="true" outlineLevel="0" collapsed="false">
      <c r="C853" s="83"/>
      <c r="D853" s="83"/>
    </row>
    <row r="854" customFormat="false" ht="15.75" hidden="false" customHeight="true" outlineLevel="0" collapsed="false">
      <c r="C854" s="83"/>
      <c r="D854" s="83"/>
    </row>
    <row r="855" customFormat="false" ht="15.75" hidden="false" customHeight="true" outlineLevel="0" collapsed="false">
      <c r="C855" s="83"/>
      <c r="D855" s="83"/>
    </row>
    <row r="856" customFormat="false" ht="15.75" hidden="false" customHeight="true" outlineLevel="0" collapsed="false">
      <c r="C856" s="83"/>
      <c r="D856" s="83"/>
    </row>
    <row r="857" customFormat="false" ht="15.75" hidden="false" customHeight="true" outlineLevel="0" collapsed="false">
      <c r="C857" s="83"/>
      <c r="D857" s="83"/>
    </row>
    <row r="858" customFormat="false" ht="15.75" hidden="false" customHeight="true" outlineLevel="0" collapsed="false">
      <c r="C858" s="83"/>
      <c r="D858" s="83"/>
    </row>
    <row r="859" customFormat="false" ht="15.75" hidden="false" customHeight="true" outlineLevel="0" collapsed="false">
      <c r="C859" s="83"/>
      <c r="D859" s="83"/>
    </row>
    <row r="860" customFormat="false" ht="15.75" hidden="false" customHeight="true" outlineLevel="0" collapsed="false">
      <c r="C860" s="83"/>
      <c r="D860" s="83"/>
    </row>
    <row r="861" customFormat="false" ht="15.75" hidden="false" customHeight="true" outlineLevel="0" collapsed="false">
      <c r="C861" s="83"/>
      <c r="D861" s="83"/>
    </row>
    <row r="862" customFormat="false" ht="15.75" hidden="false" customHeight="true" outlineLevel="0" collapsed="false">
      <c r="C862" s="83"/>
      <c r="D862" s="83"/>
    </row>
    <row r="863" customFormat="false" ht="15.75" hidden="false" customHeight="true" outlineLevel="0" collapsed="false">
      <c r="C863" s="83"/>
      <c r="D863" s="83"/>
    </row>
    <row r="864" customFormat="false" ht="15.75" hidden="false" customHeight="true" outlineLevel="0" collapsed="false">
      <c r="C864" s="83"/>
      <c r="D864" s="83"/>
    </row>
    <row r="865" customFormat="false" ht="15.75" hidden="false" customHeight="true" outlineLevel="0" collapsed="false">
      <c r="C865" s="83"/>
      <c r="D865" s="83"/>
    </row>
    <row r="866" customFormat="false" ht="15.75" hidden="false" customHeight="true" outlineLevel="0" collapsed="false">
      <c r="C866" s="83"/>
      <c r="D866" s="83"/>
    </row>
    <row r="867" customFormat="false" ht="15.75" hidden="false" customHeight="true" outlineLevel="0" collapsed="false">
      <c r="C867" s="83"/>
      <c r="D867" s="83"/>
    </row>
    <row r="868" customFormat="false" ht="15.75" hidden="false" customHeight="true" outlineLevel="0" collapsed="false">
      <c r="C868" s="83"/>
      <c r="D868" s="83"/>
    </row>
    <row r="869" customFormat="false" ht="15.75" hidden="false" customHeight="true" outlineLevel="0" collapsed="false">
      <c r="C869" s="83"/>
      <c r="D869" s="83"/>
    </row>
    <row r="870" customFormat="false" ht="15.75" hidden="false" customHeight="true" outlineLevel="0" collapsed="false">
      <c r="C870" s="83"/>
      <c r="D870" s="83"/>
    </row>
    <row r="871" customFormat="false" ht="15.75" hidden="false" customHeight="true" outlineLevel="0" collapsed="false">
      <c r="C871" s="83"/>
      <c r="D871" s="83"/>
    </row>
    <row r="872" customFormat="false" ht="15.75" hidden="false" customHeight="true" outlineLevel="0" collapsed="false">
      <c r="C872" s="83"/>
      <c r="D872" s="83"/>
    </row>
    <row r="873" customFormat="false" ht="15.75" hidden="false" customHeight="true" outlineLevel="0" collapsed="false">
      <c r="C873" s="83"/>
      <c r="D873" s="83"/>
    </row>
    <row r="874" customFormat="false" ht="15.75" hidden="false" customHeight="true" outlineLevel="0" collapsed="false">
      <c r="C874" s="83"/>
      <c r="D874" s="83"/>
    </row>
    <row r="875" customFormat="false" ht="15.75" hidden="false" customHeight="true" outlineLevel="0" collapsed="false">
      <c r="C875" s="83"/>
      <c r="D875" s="83"/>
    </row>
    <row r="876" customFormat="false" ht="15.75" hidden="false" customHeight="true" outlineLevel="0" collapsed="false">
      <c r="C876" s="83"/>
      <c r="D876" s="83"/>
    </row>
    <row r="877" customFormat="false" ht="15.75" hidden="false" customHeight="true" outlineLevel="0" collapsed="false">
      <c r="C877" s="83"/>
      <c r="D877" s="83"/>
    </row>
    <row r="878" customFormat="false" ht="15.75" hidden="false" customHeight="true" outlineLevel="0" collapsed="false">
      <c r="C878" s="83"/>
      <c r="D878" s="83"/>
    </row>
    <row r="879" customFormat="false" ht="15.75" hidden="false" customHeight="true" outlineLevel="0" collapsed="false">
      <c r="C879" s="83"/>
      <c r="D879" s="83"/>
    </row>
    <row r="880" customFormat="false" ht="15.75" hidden="false" customHeight="true" outlineLevel="0" collapsed="false">
      <c r="C880" s="83"/>
      <c r="D880" s="83"/>
    </row>
    <row r="881" customFormat="false" ht="15.75" hidden="false" customHeight="true" outlineLevel="0" collapsed="false">
      <c r="C881" s="83"/>
      <c r="D881" s="83"/>
    </row>
    <row r="882" customFormat="false" ht="15.75" hidden="false" customHeight="true" outlineLevel="0" collapsed="false">
      <c r="C882" s="83"/>
      <c r="D882" s="83"/>
    </row>
    <row r="883" customFormat="false" ht="15.75" hidden="false" customHeight="true" outlineLevel="0" collapsed="false">
      <c r="C883" s="83"/>
      <c r="D883" s="83"/>
    </row>
    <row r="884" customFormat="false" ht="15.75" hidden="false" customHeight="true" outlineLevel="0" collapsed="false">
      <c r="C884" s="83"/>
      <c r="D884" s="83"/>
    </row>
    <row r="885" customFormat="false" ht="15.75" hidden="false" customHeight="true" outlineLevel="0" collapsed="false">
      <c r="C885" s="83"/>
      <c r="D885" s="83"/>
    </row>
    <row r="886" customFormat="false" ht="15.75" hidden="false" customHeight="true" outlineLevel="0" collapsed="false">
      <c r="C886" s="83"/>
      <c r="D886" s="83"/>
    </row>
    <row r="887" customFormat="false" ht="15.75" hidden="false" customHeight="true" outlineLevel="0" collapsed="false">
      <c r="C887" s="83"/>
      <c r="D887" s="83"/>
    </row>
    <row r="888" customFormat="false" ht="15.75" hidden="false" customHeight="true" outlineLevel="0" collapsed="false">
      <c r="C888" s="83"/>
      <c r="D888" s="83"/>
    </row>
    <row r="889" customFormat="false" ht="15.75" hidden="false" customHeight="true" outlineLevel="0" collapsed="false">
      <c r="C889" s="83"/>
      <c r="D889" s="83"/>
    </row>
    <row r="890" customFormat="false" ht="15.75" hidden="false" customHeight="true" outlineLevel="0" collapsed="false">
      <c r="C890" s="83"/>
      <c r="D890" s="83"/>
    </row>
    <row r="891" customFormat="false" ht="15.75" hidden="false" customHeight="true" outlineLevel="0" collapsed="false">
      <c r="C891" s="83"/>
      <c r="D891" s="83"/>
    </row>
    <row r="892" customFormat="false" ht="15.75" hidden="false" customHeight="true" outlineLevel="0" collapsed="false">
      <c r="C892" s="83"/>
      <c r="D892" s="83"/>
    </row>
    <row r="893" customFormat="false" ht="15.75" hidden="false" customHeight="true" outlineLevel="0" collapsed="false">
      <c r="C893" s="83"/>
      <c r="D893" s="83"/>
    </row>
    <row r="894" customFormat="false" ht="15.75" hidden="false" customHeight="true" outlineLevel="0" collapsed="false">
      <c r="C894" s="83"/>
      <c r="D894" s="83"/>
    </row>
    <row r="895" customFormat="false" ht="15.75" hidden="false" customHeight="true" outlineLevel="0" collapsed="false">
      <c r="C895" s="83"/>
      <c r="D895" s="83"/>
    </row>
    <row r="896" customFormat="false" ht="15.75" hidden="false" customHeight="true" outlineLevel="0" collapsed="false">
      <c r="C896" s="83"/>
      <c r="D896" s="83"/>
    </row>
    <row r="897" customFormat="false" ht="15.75" hidden="false" customHeight="true" outlineLevel="0" collapsed="false">
      <c r="C897" s="83"/>
      <c r="D897" s="83"/>
    </row>
    <row r="898" customFormat="false" ht="15.75" hidden="false" customHeight="true" outlineLevel="0" collapsed="false">
      <c r="C898" s="83"/>
      <c r="D898" s="83"/>
    </row>
    <row r="899" customFormat="false" ht="15.75" hidden="false" customHeight="true" outlineLevel="0" collapsed="false">
      <c r="C899" s="83"/>
      <c r="D899" s="83"/>
    </row>
    <row r="900" customFormat="false" ht="15.75" hidden="false" customHeight="true" outlineLevel="0" collapsed="false">
      <c r="C900" s="83"/>
      <c r="D900" s="83"/>
    </row>
    <row r="901" customFormat="false" ht="15.75" hidden="false" customHeight="true" outlineLevel="0" collapsed="false">
      <c r="C901" s="83"/>
      <c r="D901" s="83"/>
    </row>
    <row r="902" customFormat="false" ht="15.75" hidden="false" customHeight="true" outlineLevel="0" collapsed="false">
      <c r="C902" s="83"/>
      <c r="D902" s="83"/>
    </row>
    <row r="903" customFormat="false" ht="15.75" hidden="false" customHeight="true" outlineLevel="0" collapsed="false">
      <c r="C903" s="83"/>
      <c r="D903" s="83"/>
    </row>
    <row r="904" customFormat="false" ht="15.75" hidden="false" customHeight="true" outlineLevel="0" collapsed="false">
      <c r="C904" s="83"/>
      <c r="D904" s="83"/>
    </row>
    <row r="905" customFormat="false" ht="15.75" hidden="false" customHeight="true" outlineLevel="0" collapsed="false">
      <c r="C905" s="83"/>
      <c r="D905" s="83"/>
    </row>
    <row r="906" customFormat="false" ht="15.75" hidden="false" customHeight="true" outlineLevel="0" collapsed="false">
      <c r="C906" s="83"/>
      <c r="D906" s="83"/>
    </row>
    <row r="907" customFormat="false" ht="15.75" hidden="false" customHeight="true" outlineLevel="0" collapsed="false">
      <c r="C907" s="83"/>
      <c r="D907" s="83"/>
    </row>
    <row r="908" customFormat="false" ht="15.75" hidden="false" customHeight="true" outlineLevel="0" collapsed="false">
      <c r="C908" s="83"/>
      <c r="D908" s="83"/>
    </row>
    <row r="909" customFormat="false" ht="15.75" hidden="false" customHeight="true" outlineLevel="0" collapsed="false">
      <c r="C909" s="83"/>
      <c r="D909" s="83"/>
    </row>
    <row r="910" customFormat="false" ht="15.75" hidden="false" customHeight="true" outlineLevel="0" collapsed="false">
      <c r="C910" s="83"/>
      <c r="D910" s="83"/>
    </row>
    <row r="911" customFormat="false" ht="15.75" hidden="false" customHeight="true" outlineLevel="0" collapsed="false">
      <c r="C911" s="83"/>
      <c r="D911" s="83"/>
    </row>
    <row r="912" customFormat="false" ht="15.75" hidden="false" customHeight="true" outlineLevel="0" collapsed="false">
      <c r="C912" s="83"/>
      <c r="D912" s="83"/>
    </row>
    <row r="913" customFormat="false" ht="15.75" hidden="false" customHeight="true" outlineLevel="0" collapsed="false">
      <c r="C913" s="83"/>
      <c r="D913" s="83"/>
    </row>
    <row r="914" customFormat="false" ht="15.75" hidden="false" customHeight="true" outlineLevel="0" collapsed="false">
      <c r="C914" s="83"/>
      <c r="D914" s="83"/>
    </row>
    <row r="915" customFormat="false" ht="15.75" hidden="false" customHeight="true" outlineLevel="0" collapsed="false">
      <c r="C915" s="83"/>
      <c r="D915" s="83"/>
    </row>
    <row r="916" customFormat="false" ht="15.75" hidden="false" customHeight="true" outlineLevel="0" collapsed="false">
      <c r="C916" s="83"/>
      <c r="D916" s="83"/>
    </row>
    <row r="917" customFormat="false" ht="15.75" hidden="false" customHeight="true" outlineLevel="0" collapsed="false">
      <c r="C917" s="83"/>
      <c r="D917" s="83"/>
    </row>
    <row r="918" customFormat="false" ht="15.75" hidden="false" customHeight="true" outlineLevel="0" collapsed="false">
      <c r="C918" s="83"/>
      <c r="D918" s="83"/>
    </row>
    <row r="919" customFormat="false" ht="15.75" hidden="false" customHeight="true" outlineLevel="0" collapsed="false">
      <c r="C919" s="83"/>
      <c r="D919" s="83"/>
    </row>
    <row r="920" customFormat="false" ht="15.75" hidden="false" customHeight="true" outlineLevel="0" collapsed="false">
      <c r="C920" s="83"/>
      <c r="D920" s="83"/>
    </row>
    <row r="921" customFormat="false" ht="15.75" hidden="false" customHeight="true" outlineLevel="0" collapsed="false">
      <c r="C921" s="83"/>
      <c r="D921" s="83"/>
    </row>
    <row r="922" customFormat="false" ht="15.75" hidden="false" customHeight="true" outlineLevel="0" collapsed="false">
      <c r="C922" s="83"/>
      <c r="D922" s="83"/>
    </row>
    <row r="923" customFormat="false" ht="15.75" hidden="false" customHeight="true" outlineLevel="0" collapsed="false">
      <c r="C923" s="83"/>
      <c r="D923" s="83"/>
    </row>
    <row r="924" customFormat="false" ht="15.75" hidden="false" customHeight="true" outlineLevel="0" collapsed="false">
      <c r="C924" s="83"/>
      <c r="D924" s="83"/>
    </row>
    <row r="925" customFormat="false" ht="15.75" hidden="false" customHeight="true" outlineLevel="0" collapsed="false">
      <c r="C925" s="83"/>
      <c r="D925" s="83"/>
    </row>
    <row r="926" customFormat="false" ht="15.75" hidden="false" customHeight="true" outlineLevel="0" collapsed="false">
      <c r="C926" s="83"/>
      <c r="D926" s="83"/>
    </row>
    <row r="927" customFormat="false" ht="15.75" hidden="false" customHeight="true" outlineLevel="0" collapsed="false">
      <c r="C927" s="83"/>
      <c r="D927" s="83"/>
    </row>
    <row r="928" customFormat="false" ht="15.75" hidden="false" customHeight="true" outlineLevel="0" collapsed="false">
      <c r="C928" s="83"/>
      <c r="D928" s="83"/>
    </row>
    <row r="929" customFormat="false" ht="15.75" hidden="false" customHeight="true" outlineLevel="0" collapsed="false">
      <c r="C929" s="83"/>
      <c r="D929" s="83"/>
    </row>
    <row r="930" customFormat="false" ht="15.75" hidden="false" customHeight="true" outlineLevel="0" collapsed="false">
      <c r="C930" s="83"/>
      <c r="D930" s="83"/>
    </row>
    <row r="931" customFormat="false" ht="15.75" hidden="false" customHeight="true" outlineLevel="0" collapsed="false">
      <c r="C931" s="83"/>
      <c r="D931" s="83"/>
    </row>
    <row r="932" customFormat="false" ht="15.75" hidden="false" customHeight="true" outlineLevel="0" collapsed="false">
      <c r="C932" s="83"/>
      <c r="D932" s="83"/>
    </row>
    <row r="933" customFormat="false" ht="15.75" hidden="false" customHeight="true" outlineLevel="0" collapsed="false">
      <c r="C933" s="83"/>
      <c r="D933" s="83"/>
    </row>
    <row r="934" customFormat="false" ht="15.75" hidden="false" customHeight="true" outlineLevel="0" collapsed="false">
      <c r="C934" s="83"/>
      <c r="D934" s="83"/>
    </row>
    <row r="935" customFormat="false" ht="15.75" hidden="false" customHeight="true" outlineLevel="0" collapsed="false">
      <c r="C935" s="83"/>
      <c r="D935" s="83"/>
    </row>
    <row r="936" customFormat="false" ht="15.75" hidden="false" customHeight="true" outlineLevel="0" collapsed="false">
      <c r="C936" s="83"/>
      <c r="D936" s="83"/>
    </row>
    <row r="937" customFormat="false" ht="15.75" hidden="false" customHeight="true" outlineLevel="0" collapsed="false">
      <c r="C937" s="83"/>
      <c r="D937" s="83"/>
    </row>
    <row r="938" customFormat="false" ht="15.75" hidden="false" customHeight="true" outlineLevel="0" collapsed="false">
      <c r="C938" s="83"/>
      <c r="D938" s="83"/>
    </row>
    <row r="939" customFormat="false" ht="15.75" hidden="false" customHeight="true" outlineLevel="0" collapsed="false">
      <c r="C939" s="83"/>
      <c r="D939" s="83"/>
    </row>
    <row r="940" customFormat="false" ht="15.75" hidden="false" customHeight="true" outlineLevel="0" collapsed="false">
      <c r="C940" s="83"/>
      <c r="D940" s="83"/>
    </row>
    <row r="941" customFormat="false" ht="15.75" hidden="false" customHeight="true" outlineLevel="0" collapsed="false">
      <c r="C941" s="83"/>
      <c r="D941" s="83"/>
    </row>
    <row r="942" customFormat="false" ht="15.75" hidden="false" customHeight="true" outlineLevel="0" collapsed="false">
      <c r="C942" s="83"/>
      <c r="D942" s="83"/>
    </row>
    <row r="943" customFormat="false" ht="15.75" hidden="false" customHeight="true" outlineLevel="0" collapsed="false">
      <c r="C943" s="83"/>
      <c r="D943" s="83"/>
    </row>
    <row r="944" customFormat="false" ht="15.75" hidden="false" customHeight="true" outlineLevel="0" collapsed="false">
      <c r="C944" s="83"/>
      <c r="D944" s="83"/>
    </row>
    <row r="945" customFormat="false" ht="15.75" hidden="false" customHeight="true" outlineLevel="0" collapsed="false">
      <c r="C945" s="83"/>
      <c r="D945" s="83"/>
    </row>
    <row r="946" customFormat="false" ht="15.75" hidden="false" customHeight="true" outlineLevel="0" collapsed="false">
      <c r="C946" s="83"/>
      <c r="D946" s="83"/>
    </row>
    <row r="947" customFormat="false" ht="15.75" hidden="false" customHeight="true" outlineLevel="0" collapsed="false">
      <c r="C947" s="83"/>
      <c r="D947" s="83"/>
    </row>
    <row r="948" customFormat="false" ht="15.75" hidden="false" customHeight="true" outlineLevel="0" collapsed="false">
      <c r="C948" s="83"/>
      <c r="D948" s="83"/>
    </row>
    <row r="949" customFormat="false" ht="15.75" hidden="false" customHeight="true" outlineLevel="0" collapsed="false">
      <c r="C949" s="83"/>
      <c r="D949" s="83"/>
    </row>
    <row r="950" customFormat="false" ht="15.75" hidden="false" customHeight="true" outlineLevel="0" collapsed="false">
      <c r="C950" s="83"/>
      <c r="D950" s="83"/>
    </row>
    <row r="951" customFormat="false" ht="15.75" hidden="false" customHeight="true" outlineLevel="0" collapsed="false">
      <c r="C951" s="83"/>
      <c r="D951" s="83"/>
    </row>
    <row r="952" customFormat="false" ht="15.75" hidden="false" customHeight="true" outlineLevel="0" collapsed="false">
      <c r="C952" s="83"/>
      <c r="D952" s="83"/>
    </row>
    <row r="953" customFormat="false" ht="15.75" hidden="false" customHeight="true" outlineLevel="0" collapsed="false">
      <c r="C953" s="83"/>
      <c r="D953" s="83"/>
    </row>
    <row r="954" customFormat="false" ht="15.75" hidden="false" customHeight="true" outlineLevel="0" collapsed="false">
      <c r="C954" s="83"/>
      <c r="D954" s="83"/>
    </row>
    <row r="955" customFormat="false" ht="15.75" hidden="false" customHeight="true" outlineLevel="0" collapsed="false">
      <c r="C955" s="83"/>
      <c r="D955" s="83"/>
    </row>
    <row r="956" customFormat="false" ht="15.75" hidden="false" customHeight="true" outlineLevel="0" collapsed="false">
      <c r="C956" s="83"/>
      <c r="D956" s="83"/>
    </row>
    <row r="957" customFormat="false" ht="15.75" hidden="false" customHeight="true" outlineLevel="0" collapsed="false">
      <c r="C957" s="83"/>
      <c r="D957" s="83"/>
    </row>
    <row r="958" customFormat="false" ht="15.75" hidden="false" customHeight="true" outlineLevel="0" collapsed="false">
      <c r="C958" s="83"/>
      <c r="D958" s="83"/>
    </row>
    <row r="959" customFormat="false" ht="15.75" hidden="false" customHeight="true" outlineLevel="0" collapsed="false">
      <c r="C959" s="83"/>
      <c r="D959" s="83"/>
    </row>
    <row r="960" customFormat="false" ht="15.75" hidden="false" customHeight="true" outlineLevel="0" collapsed="false">
      <c r="C960" s="83"/>
      <c r="D960" s="83"/>
    </row>
    <row r="961" customFormat="false" ht="15.75" hidden="false" customHeight="true" outlineLevel="0" collapsed="false">
      <c r="C961" s="83"/>
      <c r="D961" s="83"/>
    </row>
    <row r="962" customFormat="false" ht="15.75" hidden="false" customHeight="true" outlineLevel="0" collapsed="false">
      <c r="C962" s="83"/>
      <c r="D962" s="83"/>
    </row>
    <row r="963" customFormat="false" ht="15.75" hidden="false" customHeight="true" outlineLevel="0" collapsed="false">
      <c r="C963" s="83"/>
      <c r="D963" s="83"/>
    </row>
    <row r="964" customFormat="false" ht="15.75" hidden="false" customHeight="true" outlineLevel="0" collapsed="false">
      <c r="C964" s="83"/>
      <c r="D964" s="83"/>
    </row>
    <row r="965" customFormat="false" ht="15.75" hidden="false" customHeight="true" outlineLevel="0" collapsed="false">
      <c r="C965" s="83"/>
      <c r="D965" s="83"/>
    </row>
    <row r="966" customFormat="false" ht="15.75" hidden="false" customHeight="true" outlineLevel="0" collapsed="false">
      <c r="C966" s="83"/>
      <c r="D966" s="83"/>
    </row>
    <row r="967" customFormat="false" ht="15.75" hidden="false" customHeight="true" outlineLevel="0" collapsed="false">
      <c r="C967" s="83"/>
      <c r="D967" s="83"/>
    </row>
    <row r="968" customFormat="false" ht="15.75" hidden="false" customHeight="true" outlineLevel="0" collapsed="false">
      <c r="C968" s="83"/>
      <c r="D968" s="83"/>
    </row>
    <row r="969" customFormat="false" ht="15.75" hidden="false" customHeight="true" outlineLevel="0" collapsed="false">
      <c r="C969" s="83"/>
      <c r="D969" s="83"/>
    </row>
    <row r="970" customFormat="false" ht="15.75" hidden="false" customHeight="true" outlineLevel="0" collapsed="false">
      <c r="C970" s="83"/>
      <c r="D970" s="83"/>
    </row>
    <row r="971" customFormat="false" ht="15.75" hidden="false" customHeight="true" outlineLevel="0" collapsed="false">
      <c r="C971" s="83"/>
      <c r="D971" s="83"/>
    </row>
    <row r="972" customFormat="false" ht="15.75" hidden="false" customHeight="true" outlineLevel="0" collapsed="false">
      <c r="C972" s="83"/>
      <c r="D972" s="83"/>
    </row>
    <row r="973" customFormat="false" ht="15.75" hidden="false" customHeight="true" outlineLevel="0" collapsed="false">
      <c r="C973" s="83"/>
      <c r="D973" s="83"/>
    </row>
    <row r="974" customFormat="false" ht="15.75" hidden="false" customHeight="true" outlineLevel="0" collapsed="false">
      <c r="C974" s="83"/>
      <c r="D974" s="83"/>
    </row>
    <row r="975" customFormat="false" ht="15.75" hidden="false" customHeight="true" outlineLevel="0" collapsed="false">
      <c r="C975" s="83"/>
      <c r="D975" s="83"/>
    </row>
    <row r="976" customFormat="false" ht="15.75" hidden="false" customHeight="true" outlineLevel="0" collapsed="false">
      <c r="C976" s="83"/>
      <c r="D976" s="83"/>
    </row>
    <row r="977" customFormat="false" ht="15.75" hidden="false" customHeight="true" outlineLevel="0" collapsed="false">
      <c r="C977" s="83"/>
      <c r="D977" s="83"/>
    </row>
    <row r="978" customFormat="false" ht="15.75" hidden="false" customHeight="true" outlineLevel="0" collapsed="false">
      <c r="C978" s="83"/>
      <c r="D978" s="83"/>
    </row>
    <row r="979" customFormat="false" ht="15.75" hidden="false" customHeight="true" outlineLevel="0" collapsed="false">
      <c r="C979" s="83"/>
      <c r="D979" s="83"/>
    </row>
    <row r="980" customFormat="false" ht="15.75" hidden="false" customHeight="true" outlineLevel="0" collapsed="false">
      <c r="C980" s="83"/>
      <c r="D980" s="83"/>
    </row>
    <row r="981" customFormat="false" ht="15.75" hidden="false" customHeight="true" outlineLevel="0" collapsed="false">
      <c r="C981" s="83"/>
      <c r="D981" s="83"/>
    </row>
    <row r="982" customFormat="false" ht="15.75" hidden="false" customHeight="true" outlineLevel="0" collapsed="false">
      <c r="C982" s="83"/>
      <c r="D982" s="83"/>
    </row>
    <row r="983" customFormat="false" ht="15.75" hidden="false" customHeight="true" outlineLevel="0" collapsed="false">
      <c r="C983" s="83"/>
      <c r="D983" s="83"/>
    </row>
    <row r="984" customFormat="false" ht="15.75" hidden="false" customHeight="true" outlineLevel="0" collapsed="false">
      <c r="C984" s="83"/>
      <c r="D984" s="83"/>
    </row>
    <row r="985" customFormat="false" ht="15.75" hidden="false" customHeight="true" outlineLevel="0" collapsed="false">
      <c r="C985" s="83"/>
      <c r="D985" s="83"/>
    </row>
    <row r="986" customFormat="false" ht="15.75" hidden="false" customHeight="true" outlineLevel="0" collapsed="false">
      <c r="C986" s="83"/>
      <c r="D986" s="83"/>
    </row>
    <row r="987" customFormat="false" ht="15.75" hidden="false" customHeight="true" outlineLevel="0" collapsed="false">
      <c r="C987" s="83"/>
      <c r="D987" s="83"/>
    </row>
    <row r="988" customFormat="false" ht="15.75" hidden="false" customHeight="true" outlineLevel="0" collapsed="false">
      <c r="C988" s="83"/>
      <c r="D988" s="83"/>
    </row>
    <row r="989" customFormat="false" ht="15.75" hidden="false" customHeight="true" outlineLevel="0" collapsed="false">
      <c r="C989" s="83"/>
      <c r="D989" s="83"/>
    </row>
    <row r="990" customFormat="false" ht="15.75" hidden="false" customHeight="true" outlineLevel="0" collapsed="false">
      <c r="C990" s="83"/>
      <c r="D990" s="83"/>
    </row>
    <row r="991" customFormat="false" ht="15.75" hidden="false" customHeight="true" outlineLevel="0" collapsed="false">
      <c r="C991" s="83"/>
      <c r="D991" s="83"/>
    </row>
    <row r="992" customFormat="false" ht="15.75" hidden="false" customHeight="true" outlineLevel="0" collapsed="false">
      <c r="C992" s="83"/>
      <c r="D992" s="83"/>
    </row>
    <row r="993" customFormat="false" ht="15.75" hidden="false" customHeight="true" outlineLevel="0" collapsed="false">
      <c r="C993" s="83"/>
      <c r="D993" s="83"/>
    </row>
    <row r="994" customFormat="false" ht="15.75" hidden="false" customHeight="true" outlineLevel="0" collapsed="false">
      <c r="C994" s="83"/>
      <c r="D994" s="83"/>
    </row>
    <row r="995" customFormat="false" ht="15.75" hidden="false" customHeight="true" outlineLevel="0" collapsed="false">
      <c r="C995" s="83"/>
      <c r="D995" s="83"/>
    </row>
    <row r="996" customFormat="false" ht="15.75" hidden="false" customHeight="true" outlineLevel="0" collapsed="false">
      <c r="C996" s="83"/>
      <c r="D996" s="83"/>
    </row>
    <row r="997" customFormat="false" ht="15.75" hidden="false" customHeight="true" outlineLevel="0" collapsed="false">
      <c r="C997" s="83"/>
      <c r="D997" s="83"/>
    </row>
    <row r="998" customFormat="false" ht="15.75" hidden="false" customHeight="true" outlineLevel="0" collapsed="false">
      <c r="C998" s="83"/>
      <c r="D998" s="83"/>
    </row>
    <row r="999" customFormat="false" ht="15.75" hidden="false" customHeight="true" outlineLevel="0" collapsed="false">
      <c r="C999" s="83"/>
      <c r="D999" s="83"/>
    </row>
    <row r="1000" customFormat="false" ht="15.75" hidden="false" customHeight="true" outlineLevel="0" collapsed="false">
      <c r="C1000" s="83"/>
      <c r="D1000" s="83"/>
    </row>
    <row r="1001" customFormat="false" ht="15.75" hidden="false" customHeight="true" outlineLevel="0" collapsed="false">
      <c r="C1001" s="83"/>
      <c r="D1001" s="83"/>
    </row>
    <row r="1002" customFormat="false" ht="15.75" hidden="false" customHeight="true" outlineLevel="0" collapsed="false">
      <c r="C1002" s="83"/>
      <c r="D1002" s="83"/>
    </row>
    <row r="1003" customFormat="false" ht="15.75" hidden="false" customHeight="true" outlineLevel="0" collapsed="false">
      <c r="C1003" s="83"/>
      <c r="D1003" s="83"/>
    </row>
    <row r="1004" customFormat="false" ht="15.75" hidden="false" customHeight="true" outlineLevel="0" collapsed="false">
      <c r="C1004" s="83"/>
      <c r="D1004" s="83"/>
    </row>
    <row r="1005" customFormat="false" ht="15.75" hidden="false" customHeight="true" outlineLevel="0" collapsed="false">
      <c r="C1005" s="83"/>
      <c r="D1005" s="83"/>
    </row>
    <row r="1006" customFormat="false" ht="15.75" hidden="false" customHeight="true" outlineLevel="0" collapsed="false">
      <c r="C1006" s="83"/>
      <c r="D1006" s="83"/>
    </row>
    <row r="1007" customFormat="false" ht="15.75" hidden="false" customHeight="true" outlineLevel="0" collapsed="false">
      <c r="C1007" s="83"/>
      <c r="D1007" s="83"/>
    </row>
    <row r="1008" customFormat="false" ht="15.75" hidden="false" customHeight="true" outlineLevel="0" collapsed="false">
      <c r="C1008" s="83"/>
      <c r="D1008" s="83"/>
    </row>
    <row r="1009" customFormat="false" ht="15.75" hidden="false" customHeight="true" outlineLevel="0" collapsed="false">
      <c r="C1009" s="83"/>
      <c r="D1009" s="83"/>
    </row>
    <row r="1010" customFormat="false" ht="15.75" hidden="false" customHeight="true" outlineLevel="0" collapsed="false">
      <c r="C1010" s="83"/>
      <c r="D1010" s="83"/>
    </row>
    <row r="1011" customFormat="false" ht="15.75" hidden="false" customHeight="true" outlineLevel="0" collapsed="false">
      <c r="C1011" s="83"/>
      <c r="D1011" s="83"/>
    </row>
    <row r="1012" customFormat="false" ht="15.75" hidden="false" customHeight="true" outlineLevel="0" collapsed="false">
      <c r="C1012" s="83"/>
      <c r="D1012" s="83"/>
    </row>
    <row r="1013" customFormat="false" ht="15.75" hidden="false" customHeight="true" outlineLevel="0" collapsed="false">
      <c r="C1013" s="83"/>
      <c r="D1013" s="83"/>
    </row>
    <row r="1014" customFormat="false" ht="15.75" hidden="false" customHeight="true" outlineLevel="0" collapsed="false">
      <c r="C1014" s="83"/>
      <c r="D1014" s="83"/>
    </row>
    <row r="1015" customFormat="false" ht="15.75" hidden="false" customHeight="true" outlineLevel="0" collapsed="false">
      <c r="C1015" s="83"/>
      <c r="D1015" s="83"/>
    </row>
  </sheetData>
  <sheetProtection algorithmName="SHA-512" hashValue="dxwJF3mPkoep39S09qYCo9ETGmk55EfdYIXSIm8oLTtycVYCMvfR/aGZR727ApOcd9PBlrsq0RwqyPPqR81+Nw==" saltValue="Vtx5BhWvPFpa6K25Vc2ETA==" spinCount="100000" sheet="true" objects="true" scenarios="true"/>
  <mergeCells count="28">
    <mergeCell ref="B3:D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D26:G26"/>
    <mergeCell ref="H26:K26"/>
    <mergeCell ref="L26:O26"/>
    <mergeCell ref="P26:S26"/>
    <mergeCell ref="T26:W26"/>
    <mergeCell ref="X26:AA26"/>
    <mergeCell ref="AB26:AE26"/>
    <mergeCell ref="AF26:AI26"/>
    <mergeCell ref="AJ26:AM26"/>
    <mergeCell ref="AN26:AQ26"/>
    <mergeCell ref="AR26:AU26"/>
    <mergeCell ref="AV26:AY26"/>
    <mergeCell ref="B46:C46"/>
    <mergeCell ref="B47:C47"/>
    <mergeCell ref="A49:J49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Z1000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P33" activeCellId="0" sqref="P33"/>
    </sheetView>
  </sheetViews>
  <sheetFormatPr defaultColWidth="14.50390625" defaultRowHeight="15" zeroHeight="false" outlineLevelRow="0" outlineLevelCol="0"/>
  <cols>
    <col collapsed="false" customWidth="true" hidden="false" outlineLevel="0" max="1" min="1" style="1" width="10.67"/>
    <col collapsed="false" customWidth="true" hidden="false" outlineLevel="0" max="2" min="2" style="1" width="13.66"/>
    <col collapsed="false" customWidth="true" hidden="false" outlineLevel="0" max="3" min="3" style="1" width="10.67"/>
    <col collapsed="false" customWidth="true" hidden="false" outlineLevel="0" max="4" min="4" style="1" width="13.33"/>
    <col collapsed="false" customWidth="true" hidden="false" outlineLevel="0" max="14" min="5" style="1" width="10.67"/>
    <col collapsed="false" customWidth="true" hidden="false" outlineLevel="0" max="15" min="15" style="143" width="13"/>
    <col collapsed="false" customWidth="true" hidden="false" outlineLevel="0" max="16" min="16" style="1" width="13"/>
    <col collapsed="false" customWidth="true" hidden="false" outlineLevel="0" max="26" min="17" style="1" width="10.67"/>
    <col collapsed="false" customWidth="false" hidden="false" outlineLevel="0" max="16384" min="27" style="1" width="14.5"/>
  </cols>
  <sheetData>
    <row r="3" customFormat="false" ht="49.5" hidden="false" customHeight="true" outlineLevel="0" collapsed="false">
      <c r="B3" s="25" t="s">
        <v>177</v>
      </c>
      <c r="C3" s="25"/>
      <c r="D3" s="25"/>
      <c r="O3" s="144"/>
    </row>
    <row r="5" customFormat="false" ht="15" hidden="false" customHeight="true" outlineLevel="0" collapsed="false">
      <c r="A5" s="83"/>
      <c r="B5" s="25" t="s">
        <v>178</v>
      </c>
      <c r="C5" s="25" t="s">
        <v>121</v>
      </c>
      <c r="D5" s="25" t="s">
        <v>122</v>
      </c>
      <c r="E5" s="25" t="s">
        <v>123</v>
      </c>
      <c r="F5" s="25" t="s">
        <v>134</v>
      </c>
      <c r="G5" s="25" t="s">
        <v>135</v>
      </c>
      <c r="H5" s="25" t="s">
        <v>136</v>
      </c>
      <c r="I5" s="25" t="s">
        <v>139</v>
      </c>
      <c r="J5" s="25" t="s">
        <v>140</v>
      </c>
      <c r="K5" s="52" t="s">
        <v>141</v>
      </c>
      <c r="L5" s="52" t="s">
        <v>143</v>
      </c>
      <c r="M5" s="52" t="s">
        <v>144</v>
      </c>
      <c r="N5" s="52" t="s">
        <v>145</v>
      </c>
      <c r="O5" s="52" t="s">
        <v>179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customFormat="false" ht="15" hidden="false" customHeight="true" outlineLevel="0" collapsed="false">
      <c r="A6" s="63"/>
      <c r="B6" s="30" t="s">
        <v>180</v>
      </c>
      <c r="C6" s="11" t="n">
        <v>2500</v>
      </c>
      <c r="D6" s="11" t="n">
        <v>2500</v>
      </c>
      <c r="E6" s="11" t="n">
        <v>2500</v>
      </c>
      <c r="F6" s="11" t="n">
        <v>2500</v>
      </c>
      <c r="G6" s="11" t="n">
        <v>2500</v>
      </c>
      <c r="H6" s="11" t="n">
        <v>2500</v>
      </c>
      <c r="I6" s="11" t="n">
        <v>2500</v>
      </c>
      <c r="J6" s="11" t="n">
        <v>2500</v>
      </c>
      <c r="K6" s="11" t="n">
        <v>2500</v>
      </c>
      <c r="L6" s="11" t="n">
        <v>2500</v>
      </c>
      <c r="M6" s="11" t="n">
        <v>2500</v>
      </c>
      <c r="N6" s="11" t="n">
        <v>2500</v>
      </c>
      <c r="O6" s="32" t="n">
        <f aca="false">SUM(C6:N6)</f>
        <v>30000</v>
      </c>
      <c r="P6" s="63"/>
      <c r="Q6" s="145"/>
      <c r="R6" s="63"/>
      <c r="S6" s="63"/>
      <c r="T6" s="63"/>
      <c r="U6" s="63"/>
      <c r="V6" s="63"/>
      <c r="W6" s="63"/>
      <c r="X6" s="63"/>
      <c r="Y6" s="63"/>
      <c r="Z6" s="63"/>
    </row>
    <row r="7" customFormat="false" ht="15" hidden="false" customHeight="true" outlineLevel="0" collapsed="false">
      <c r="A7" s="63"/>
      <c r="B7" s="30" t="s">
        <v>181</v>
      </c>
      <c r="C7" s="146" t="n">
        <v>0.16</v>
      </c>
      <c r="D7" s="146" t="n">
        <v>0.16</v>
      </c>
      <c r="E7" s="146" t="n">
        <v>0.16</v>
      </c>
      <c r="F7" s="146" t="n">
        <v>0.16</v>
      </c>
      <c r="G7" s="146" t="n">
        <v>0.16</v>
      </c>
      <c r="H7" s="146" t="n">
        <v>0.16</v>
      </c>
      <c r="I7" s="146" t="n">
        <v>0.16</v>
      </c>
      <c r="J7" s="146" t="n">
        <v>0.16</v>
      </c>
      <c r="K7" s="146" t="n">
        <v>0.16</v>
      </c>
      <c r="L7" s="146" t="n">
        <v>0.16</v>
      </c>
      <c r="M7" s="146" t="n">
        <v>0.16</v>
      </c>
      <c r="N7" s="146" t="n">
        <v>0.16</v>
      </c>
      <c r="O7" s="32" t="n">
        <f aca="false">O6*C7</f>
        <v>4800</v>
      </c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customFormat="false" ht="15" hidden="false" customHeight="true" outlineLevel="0" collapsed="false">
      <c r="A8" s="63"/>
      <c r="B8" s="28" t="s">
        <v>182</v>
      </c>
      <c r="C8" s="32" t="n">
        <f aca="false">C6+C6*C7</f>
        <v>2900</v>
      </c>
      <c r="D8" s="32" t="n">
        <f aca="false">D6+D6*D7</f>
        <v>2900</v>
      </c>
      <c r="E8" s="32" t="n">
        <f aca="false">E6+E6*E7</f>
        <v>2900</v>
      </c>
      <c r="F8" s="32" t="n">
        <f aca="false">F6+F6*F7</f>
        <v>2900</v>
      </c>
      <c r="G8" s="32" t="n">
        <f aca="false">G6+G6*G7</f>
        <v>2900</v>
      </c>
      <c r="H8" s="32" t="n">
        <f aca="false">H6+H6*H7</f>
        <v>2900</v>
      </c>
      <c r="I8" s="32" t="n">
        <f aca="false">I6+I6*I7</f>
        <v>2900</v>
      </c>
      <c r="J8" s="32" t="n">
        <f aca="false">J6+J6*J7</f>
        <v>2900</v>
      </c>
      <c r="K8" s="32" t="n">
        <f aca="false">K6+K6*K7</f>
        <v>2900</v>
      </c>
      <c r="L8" s="32" t="n">
        <f aca="false">L6+L6*L7</f>
        <v>2900</v>
      </c>
      <c r="M8" s="32" t="n">
        <f aca="false">M6+M6*M7</f>
        <v>2900</v>
      </c>
      <c r="N8" s="32" t="n">
        <f aca="false">N6+N6*N7</f>
        <v>2900</v>
      </c>
      <c r="O8" s="32" t="n">
        <f aca="false">SUM(C8:N8)</f>
        <v>34800</v>
      </c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10" customFormat="false" ht="15" hidden="false" customHeight="true" outlineLevel="0" collapsed="false">
      <c r="B10" s="52" t="s">
        <v>183</v>
      </c>
      <c r="C10" s="52" t="s">
        <v>121</v>
      </c>
      <c r="D10" s="52" t="s">
        <v>122</v>
      </c>
      <c r="E10" s="52" t="s">
        <v>123</v>
      </c>
      <c r="F10" s="52" t="s">
        <v>134</v>
      </c>
      <c r="G10" s="52" t="s">
        <v>135</v>
      </c>
      <c r="H10" s="52" t="s">
        <v>136</v>
      </c>
      <c r="I10" s="52" t="s">
        <v>139</v>
      </c>
      <c r="J10" s="52" t="s">
        <v>140</v>
      </c>
      <c r="K10" s="52" t="s">
        <v>141</v>
      </c>
      <c r="L10" s="52" t="s">
        <v>143</v>
      </c>
      <c r="M10" s="52" t="s">
        <v>144</v>
      </c>
      <c r="N10" s="52" t="s">
        <v>145</v>
      </c>
      <c r="O10" s="52" t="s">
        <v>179</v>
      </c>
    </row>
    <row r="11" customFormat="false" ht="15" hidden="false" customHeight="true" outlineLevel="0" collapsed="false">
      <c r="B11" s="30" t="s">
        <v>180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2333.33333333333</v>
      </c>
      <c r="I11" s="11" t="n">
        <v>2333.33333333333</v>
      </c>
      <c r="J11" s="11" t="n">
        <v>2333.33333333333</v>
      </c>
      <c r="K11" s="11" t="n">
        <v>2333.33333333333</v>
      </c>
      <c r="L11" s="11" t="n">
        <v>2333.33333333333</v>
      </c>
      <c r="M11" s="11" t="n">
        <v>0</v>
      </c>
      <c r="N11" s="11" t="n">
        <v>0</v>
      </c>
      <c r="O11" s="32" t="n">
        <f aca="false">SUM(C11:N11)</f>
        <v>11666.6666666667</v>
      </c>
    </row>
    <row r="12" customFormat="false" ht="15" hidden="false" customHeight="true" outlineLevel="0" collapsed="false">
      <c r="B12" s="30" t="s">
        <v>181</v>
      </c>
      <c r="C12" s="146" t="n">
        <v>0</v>
      </c>
      <c r="D12" s="146" t="n">
        <v>0</v>
      </c>
      <c r="E12" s="146" t="n">
        <v>0</v>
      </c>
      <c r="F12" s="146" t="n">
        <v>0</v>
      </c>
      <c r="G12" s="146" t="n">
        <v>0</v>
      </c>
      <c r="H12" s="146" t="n">
        <v>0.3</v>
      </c>
      <c r="I12" s="146" t="n">
        <v>0.3</v>
      </c>
      <c r="J12" s="146" t="n">
        <v>0.3</v>
      </c>
      <c r="K12" s="146" t="n">
        <v>0.3</v>
      </c>
      <c r="L12" s="146" t="n">
        <v>0.3</v>
      </c>
      <c r="M12" s="146" t="n">
        <v>0</v>
      </c>
      <c r="N12" s="146" t="n">
        <v>0</v>
      </c>
      <c r="O12" s="32" t="n">
        <f aca="false">O11*C12</f>
        <v>0</v>
      </c>
    </row>
    <row r="13" customFormat="false" ht="15" hidden="false" customHeight="true" outlineLevel="0" collapsed="false">
      <c r="B13" s="28" t="s">
        <v>182</v>
      </c>
      <c r="C13" s="32" t="n">
        <f aca="false">C11+(C11*C12)</f>
        <v>0</v>
      </c>
      <c r="D13" s="32" t="n">
        <f aca="false">D11+(D11*D12)</f>
        <v>0</v>
      </c>
      <c r="E13" s="32" t="n">
        <f aca="false">E11+(E11*E12)</f>
        <v>0</v>
      </c>
      <c r="F13" s="32" t="n">
        <f aca="false">F11+(F11*F12)</f>
        <v>0</v>
      </c>
      <c r="G13" s="32" t="n">
        <f aca="false">G11+(G11*G12)</f>
        <v>0</v>
      </c>
      <c r="H13" s="32" t="n">
        <f aca="false">H11+(H11*H12)</f>
        <v>3033.33333333333</v>
      </c>
      <c r="I13" s="32" t="n">
        <f aca="false">I11+(I11*I12)</f>
        <v>3033.33333333333</v>
      </c>
      <c r="J13" s="32" t="n">
        <f aca="false">J11+(J11*J12)</f>
        <v>3033.33333333333</v>
      </c>
      <c r="K13" s="32" t="n">
        <f aca="false">K11+(K11*K12)</f>
        <v>3033.33333333333</v>
      </c>
      <c r="L13" s="32" t="n">
        <f aca="false">L11+(L11*L12)</f>
        <v>3033.33333333333</v>
      </c>
      <c r="M13" s="32" t="n">
        <f aca="false">M11+(M11*M12)</f>
        <v>0</v>
      </c>
      <c r="N13" s="32" t="n">
        <f aca="false">N11+(N11*N12)</f>
        <v>0</v>
      </c>
      <c r="O13" s="32" t="n">
        <f aca="false">SUM(C13:N13)</f>
        <v>15166.6666666666</v>
      </c>
    </row>
    <row r="14" customFormat="false" ht="15" hidden="false" customHeight="true" outlineLevel="0" collapsed="false">
      <c r="O14" s="147"/>
    </row>
    <row r="15" customFormat="false" ht="15" hidden="false" customHeight="true" outlineLevel="0" collapsed="false">
      <c r="B15" s="52" t="s">
        <v>184</v>
      </c>
      <c r="C15" s="52" t="s">
        <v>121</v>
      </c>
      <c r="D15" s="52" t="s">
        <v>122</v>
      </c>
      <c r="E15" s="52" t="s">
        <v>123</v>
      </c>
      <c r="F15" s="52" t="s">
        <v>134</v>
      </c>
      <c r="G15" s="52" t="s">
        <v>135</v>
      </c>
      <c r="H15" s="52" t="s">
        <v>136</v>
      </c>
      <c r="I15" s="52" t="s">
        <v>139</v>
      </c>
      <c r="J15" s="52" t="s">
        <v>140</v>
      </c>
      <c r="K15" s="52" t="s">
        <v>141</v>
      </c>
      <c r="L15" s="52" t="s">
        <v>143</v>
      </c>
      <c r="M15" s="52" t="s">
        <v>144</v>
      </c>
      <c r="N15" s="52" t="s">
        <v>145</v>
      </c>
      <c r="O15" s="52" t="s">
        <v>179</v>
      </c>
    </row>
    <row r="16" customFormat="false" ht="15" hidden="false" customHeight="true" outlineLevel="0" collapsed="false">
      <c r="B16" s="30" t="s">
        <v>180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1000</v>
      </c>
      <c r="N16" s="11" t="n">
        <v>1000</v>
      </c>
      <c r="O16" s="32" t="n">
        <f aca="false">SUM(C16:N16)</f>
        <v>2000</v>
      </c>
    </row>
    <row r="17" customFormat="false" ht="15" hidden="false" customHeight="true" outlineLevel="0" collapsed="false">
      <c r="B17" s="30" t="s">
        <v>181</v>
      </c>
      <c r="C17" s="146" t="n">
        <v>0</v>
      </c>
      <c r="D17" s="146" t="n">
        <v>0</v>
      </c>
      <c r="E17" s="146" t="n">
        <v>0</v>
      </c>
      <c r="F17" s="146" t="n">
        <v>0</v>
      </c>
      <c r="G17" s="146" t="n">
        <v>0</v>
      </c>
      <c r="H17" s="146" t="n">
        <v>0</v>
      </c>
      <c r="I17" s="146" t="n">
        <v>0</v>
      </c>
      <c r="J17" s="146" t="n">
        <v>0</v>
      </c>
      <c r="K17" s="146" t="n">
        <v>0</v>
      </c>
      <c r="L17" s="146" t="n">
        <v>0</v>
      </c>
      <c r="M17" s="146" t="n">
        <v>0.3</v>
      </c>
      <c r="N17" s="146" t="n">
        <v>0.3</v>
      </c>
      <c r="O17" s="32" t="n">
        <f aca="false">O16*C17</f>
        <v>0</v>
      </c>
    </row>
    <row r="18" customFormat="false" ht="15" hidden="false" customHeight="true" outlineLevel="0" collapsed="false">
      <c r="B18" s="28" t="s">
        <v>182</v>
      </c>
      <c r="C18" s="32" t="n">
        <f aca="false">C16+(C16*C17)</f>
        <v>0</v>
      </c>
      <c r="D18" s="32" t="n">
        <f aca="false">D16+(D16*D17)</f>
        <v>0</v>
      </c>
      <c r="E18" s="32" t="n">
        <f aca="false">E16+(E16*E17)</f>
        <v>0</v>
      </c>
      <c r="F18" s="32" t="n">
        <f aca="false">F16+(F16*F17)</f>
        <v>0</v>
      </c>
      <c r="G18" s="32" t="n">
        <f aca="false">G16+(G16*G17)</f>
        <v>0</v>
      </c>
      <c r="H18" s="32" t="n">
        <f aca="false">H16+(H16*H17)</f>
        <v>0</v>
      </c>
      <c r="I18" s="32" t="n">
        <f aca="false">I16+(I16*I17)</f>
        <v>0</v>
      </c>
      <c r="J18" s="32" t="n">
        <f aca="false">J16+(J16*J17)</f>
        <v>0</v>
      </c>
      <c r="K18" s="32" t="n">
        <f aca="false">K16+(K16*K17)</f>
        <v>0</v>
      </c>
      <c r="L18" s="32" t="n">
        <f aca="false">L16+(L16*L17)</f>
        <v>0</v>
      </c>
      <c r="M18" s="32" t="n">
        <f aca="false">M16+(M16*M17)</f>
        <v>1300</v>
      </c>
      <c r="N18" s="32" t="n">
        <f aca="false">N16+(N16*N17)</f>
        <v>1300</v>
      </c>
      <c r="O18" s="32" t="n">
        <f aca="false">SUM(C18:N18)</f>
        <v>2600</v>
      </c>
    </row>
    <row r="20" customFormat="false" ht="15" hidden="false" customHeight="true" outlineLevel="0" collapsed="false">
      <c r="B20" s="52" t="s">
        <v>185</v>
      </c>
      <c r="C20" s="52" t="s">
        <v>121</v>
      </c>
      <c r="D20" s="52" t="s">
        <v>122</v>
      </c>
      <c r="E20" s="52" t="s">
        <v>123</v>
      </c>
      <c r="F20" s="52" t="s">
        <v>134</v>
      </c>
      <c r="G20" s="52" t="s">
        <v>135</v>
      </c>
      <c r="H20" s="52" t="s">
        <v>136</v>
      </c>
      <c r="I20" s="52" t="s">
        <v>139</v>
      </c>
      <c r="J20" s="52" t="s">
        <v>140</v>
      </c>
      <c r="K20" s="52" t="s">
        <v>141</v>
      </c>
      <c r="L20" s="52" t="s">
        <v>143</v>
      </c>
      <c r="M20" s="52" t="s">
        <v>144</v>
      </c>
      <c r="N20" s="52" t="s">
        <v>145</v>
      </c>
      <c r="O20" s="52" t="s">
        <v>179</v>
      </c>
    </row>
    <row r="21" customFormat="false" ht="15.75" hidden="false" customHeight="true" outlineLevel="0" collapsed="false">
      <c r="B21" s="30" t="s">
        <v>180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32" t="n">
        <f aca="false">SUM(C21:N21)</f>
        <v>0</v>
      </c>
    </row>
    <row r="22" customFormat="false" ht="15.75" hidden="false" customHeight="true" outlineLevel="0" collapsed="false">
      <c r="B22" s="30" t="s">
        <v>181</v>
      </c>
      <c r="C22" s="146" t="n">
        <v>0</v>
      </c>
      <c r="D22" s="146" t="n">
        <v>0</v>
      </c>
      <c r="E22" s="146" t="n">
        <v>0</v>
      </c>
      <c r="F22" s="146" t="n">
        <v>0</v>
      </c>
      <c r="G22" s="146" t="n">
        <v>0</v>
      </c>
      <c r="H22" s="146" t="n">
        <v>0</v>
      </c>
      <c r="I22" s="146" t="n">
        <v>0</v>
      </c>
      <c r="J22" s="146" t="n">
        <v>0</v>
      </c>
      <c r="K22" s="146" t="n">
        <v>0</v>
      </c>
      <c r="L22" s="146" t="n">
        <v>0</v>
      </c>
      <c r="M22" s="146" t="n">
        <v>0</v>
      </c>
      <c r="N22" s="146" t="n">
        <v>0</v>
      </c>
      <c r="O22" s="32" t="n">
        <f aca="false">O21*C22</f>
        <v>0</v>
      </c>
    </row>
    <row r="23" customFormat="false" ht="15.75" hidden="false" customHeight="true" outlineLevel="0" collapsed="false">
      <c r="A23" s="143"/>
      <c r="B23" s="28" t="s">
        <v>182</v>
      </c>
      <c r="C23" s="32" t="n">
        <f aca="false">C21+(C21*C22)</f>
        <v>0</v>
      </c>
      <c r="D23" s="32" t="n">
        <f aca="false">D21+(D21*D22)</f>
        <v>0</v>
      </c>
      <c r="E23" s="32" t="n">
        <f aca="false">E21+(E21*E22)</f>
        <v>0</v>
      </c>
      <c r="F23" s="32" t="n">
        <f aca="false">F21+(F21*F22)</f>
        <v>0</v>
      </c>
      <c r="G23" s="32" t="n">
        <f aca="false">G21+(G21*G22)</f>
        <v>0</v>
      </c>
      <c r="H23" s="32" t="n">
        <f aca="false">H21+(H21*H22)</f>
        <v>0</v>
      </c>
      <c r="I23" s="32" t="n">
        <f aca="false">I21+(I21*I22)</f>
        <v>0</v>
      </c>
      <c r="J23" s="32" t="n">
        <f aca="false">J21+(J21*J22)</f>
        <v>0</v>
      </c>
      <c r="K23" s="32" t="n">
        <f aca="false">K21+(K21*K22)</f>
        <v>0</v>
      </c>
      <c r="L23" s="32" t="n">
        <f aca="false">L21+(L21*L22)</f>
        <v>0</v>
      </c>
      <c r="M23" s="32" t="n">
        <f aca="false">M21+(M21*M22)</f>
        <v>0</v>
      </c>
      <c r="N23" s="32" t="n">
        <f aca="false">N21+(N21*N22)</f>
        <v>0</v>
      </c>
      <c r="O23" s="32" t="n">
        <f aca="false">SUM(C23:N23)</f>
        <v>0</v>
      </c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customFormat="false" ht="15.75" hidden="false" customHeight="true" outlineLevel="0" collapsed="false"/>
    <row r="25" customFormat="false" ht="15.75" hidden="false" customHeight="true" outlineLevel="0" collapsed="false">
      <c r="B25" s="52" t="s">
        <v>186</v>
      </c>
      <c r="C25" s="52" t="s">
        <v>121</v>
      </c>
      <c r="D25" s="52" t="s">
        <v>122</v>
      </c>
      <c r="E25" s="52" t="s">
        <v>123</v>
      </c>
      <c r="F25" s="52" t="s">
        <v>134</v>
      </c>
      <c r="G25" s="52" t="s">
        <v>135</v>
      </c>
      <c r="H25" s="52" t="s">
        <v>136</v>
      </c>
      <c r="I25" s="52" t="s">
        <v>139</v>
      </c>
      <c r="J25" s="52" t="s">
        <v>140</v>
      </c>
      <c r="K25" s="52" t="s">
        <v>141</v>
      </c>
      <c r="L25" s="52" t="s">
        <v>143</v>
      </c>
      <c r="M25" s="52" t="s">
        <v>144</v>
      </c>
      <c r="N25" s="52" t="s">
        <v>145</v>
      </c>
      <c r="O25" s="52" t="s">
        <v>179</v>
      </c>
    </row>
    <row r="26" customFormat="false" ht="15.75" hidden="false" customHeight="true" outlineLevel="0" collapsed="false">
      <c r="B26" s="30" t="s">
        <v>180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32" t="n">
        <f aca="false">SUM(C26:N26)</f>
        <v>0</v>
      </c>
    </row>
    <row r="27" customFormat="false" ht="15.75" hidden="false" customHeight="true" outlineLevel="0" collapsed="false">
      <c r="B27" s="30" t="s">
        <v>181</v>
      </c>
      <c r="C27" s="146" t="n">
        <v>0</v>
      </c>
      <c r="D27" s="146" t="n">
        <v>0</v>
      </c>
      <c r="E27" s="146" t="n">
        <v>0</v>
      </c>
      <c r="F27" s="146" t="n">
        <v>0</v>
      </c>
      <c r="G27" s="146" t="n">
        <v>0</v>
      </c>
      <c r="H27" s="146" t="n">
        <v>0</v>
      </c>
      <c r="I27" s="146" t="n">
        <v>0</v>
      </c>
      <c r="J27" s="146" t="n">
        <v>0</v>
      </c>
      <c r="K27" s="146" t="n">
        <v>0</v>
      </c>
      <c r="L27" s="146" t="n">
        <v>0</v>
      </c>
      <c r="M27" s="146" t="n">
        <v>0</v>
      </c>
      <c r="N27" s="146" t="n">
        <v>0</v>
      </c>
      <c r="O27" s="32" t="n">
        <f aca="false">O26*C27</f>
        <v>0</v>
      </c>
    </row>
    <row r="28" customFormat="false" ht="15.75" hidden="false" customHeight="true" outlineLevel="0" collapsed="false">
      <c r="A28" s="143"/>
      <c r="B28" s="28" t="s">
        <v>182</v>
      </c>
      <c r="C28" s="32" t="n">
        <f aca="false">C26+(C26*C27)</f>
        <v>0</v>
      </c>
      <c r="D28" s="32" t="n">
        <f aca="false">D26+(D26*D27)</f>
        <v>0</v>
      </c>
      <c r="E28" s="32" t="n">
        <f aca="false">E26+(E26*E27)</f>
        <v>0</v>
      </c>
      <c r="F28" s="32" t="n">
        <f aca="false">F26+(F26*F27)</f>
        <v>0</v>
      </c>
      <c r="G28" s="32" t="n">
        <f aca="false">G26+(G26*G27)</f>
        <v>0</v>
      </c>
      <c r="H28" s="32" t="n">
        <f aca="false">H26+(H26*H27)</f>
        <v>0</v>
      </c>
      <c r="I28" s="32" t="n">
        <f aca="false">I26+(I26*I27)</f>
        <v>0</v>
      </c>
      <c r="J28" s="32" t="n">
        <f aca="false">J26+(J26*J27)</f>
        <v>0</v>
      </c>
      <c r="K28" s="32" t="n">
        <f aca="false">K26+(K26*K27)</f>
        <v>0</v>
      </c>
      <c r="L28" s="32" t="n">
        <f aca="false">L26+(L26*L27)</f>
        <v>0</v>
      </c>
      <c r="M28" s="32" t="n">
        <f aca="false">M26+(M26*M27)</f>
        <v>0</v>
      </c>
      <c r="N28" s="32" t="n">
        <f aca="false">N26+(N26*N27)</f>
        <v>0</v>
      </c>
      <c r="O28" s="32" t="n">
        <f aca="false">SUM(C28:N28)</f>
        <v>0</v>
      </c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customFormat="false" ht="15.75" hidden="false" customHeight="true" outlineLevel="0" collapsed="false"/>
    <row r="30" customFormat="false" ht="15.75" hidden="false" customHeight="true" outlineLevel="0" collapsed="false">
      <c r="O30" s="148"/>
    </row>
    <row r="31" customFormat="false" ht="15.75" hidden="false" customHeight="true" outlineLevel="0" collapsed="false">
      <c r="B31" s="149" t="s">
        <v>187</v>
      </c>
      <c r="C31" s="56" t="s">
        <v>121</v>
      </c>
      <c r="D31" s="56" t="s">
        <v>122</v>
      </c>
      <c r="E31" s="56" t="s">
        <v>123</v>
      </c>
      <c r="F31" s="56" t="s">
        <v>134</v>
      </c>
      <c r="G31" s="56" t="s">
        <v>135</v>
      </c>
      <c r="H31" s="56" t="s">
        <v>136</v>
      </c>
      <c r="I31" s="56" t="s">
        <v>139</v>
      </c>
      <c r="J31" s="56" t="s">
        <v>140</v>
      </c>
      <c r="K31" s="56" t="s">
        <v>141</v>
      </c>
      <c r="L31" s="56" t="s">
        <v>143</v>
      </c>
      <c r="M31" s="56" t="s">
        <v>144</v>
      </c>
      <c r="N31" s="56" t="s">
        <v>145</v>
      </c>
      <c r="O31" s="56" t="s">
        <v>179</v>
      </c>
    </row>
    <row r="32" customFormat="false" ht="15.75" hidden="false" customHeight="true" outlineLevel="0" collapsed="false">
      <c r="B32" s="149"/>
      <c r="C32" s="12" t="n">
        <f aca="false">C8+C13+C18+C23+C28</f>
        <v>2900</v>
      </c>
      <c r="D32" s="12" t="n">
        <f aca="false">D8+D13+D18+D23+D28</f>
        <v>2900</v>
      </c>
      <c r="E32" s="12" t="n">
        <f aca="false">E8+E13+E18+E23+E28</f>
        <v>2900</v>
      </c>
      <c r="F32" s="12" t="n">
        <f aca="false">F8+F13+F18+F23+F28</f>
        <v>2900</v>
      </c>
      <c r="G32" s="12" t="n">
        <f aca="false">G8+G13+G18+G23+G28</f>
        <v>2900</v>
      </c>
      <c r="H32" s="12" t="n">
        <f aca="false">H8+H13+H18+H23+H28</f>
        <v>5933.33333333333</v>
      </c>
      <c r="I32" s="12" t="n">
        <f aca="false">I8+I13+I18+I23+I28</f>
        <v>5933.33333333333</v>
      </c>
      <c r="J32" s="12" t="n">
        <f aca="false">J8+J13+J18+J23+J28</f>
        <v>5933.33333333333</v>
      </c>
      <c r="K32" s="12" t="n">
        <f aca="false">K8+K13+K18+K23+K28</f>
        <v>5933.33333333333</v>
      </c>
      <c r="L32" s="12" t="n">
        <f aca="false">L8+L13+L18+L23+L28</f>
        <v>5933.33333333333</v>
      </c>
      <c r="M32" s="12" t="n">
        <f aca="false">M8+M13+M18+M23+M28</f>
        <v>4200</v>
      </c>
      <c r="N32" s="12" t="n">
        <f aca="false">N8+N13+N18+N23+N28</f>
        <v>4200</v>
      </c>
      <c r="O32" s="32" t="n">
        <f aca="false">SUM(C32:N32)</f>
        <v>52566.6666666666</v>
      </c>
      <c r="P32" s="67"/>
    </row>
    <row r="33" customFormat="false" ht="15.75" hidden="false" customHeight="true" outlineLevel="0" collapsed="false"/>
    <row r="34" customFormat="false" ht="15.75" hidden="false" customHeight="true" outlineLevel="0" collapsed="false">
      <c r="A34" s="116" t="s">
        <v>188</v>
      </c>
      <c r="B34" s="116"/>
      <c r="C34" s="116"/>
      <c r="D34" s="116"/>
      <c r="E34" s="116"/>
      <c r="F34" s="116"/>
      <c r="G34" s="116"/>
      <c r="H34" s="116"/>
      <c r="I34" s="116"/>
      <c r="J34" s="116"/>
      <c r="P34" s="67"/>
    </row>
    <row r="35" customFormat="false" ht="15.75" hidden="false" customHeight="true" outlineLevel="0" collapsed="false">
      <c r="A35" s="150" t="s">
        <v>189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</row>
    <row r="36" customFormat="false" ht="15.75" hidden="false" customHeight="true" outlineLevel="0" collapsed="false">
      <c r="A36" s="151" t="s">
        <v>190</v>
      </c>
      <c r="B36" s="151" t="s">
        <v>191</v>
      </c>
      <c r="C36" s="151" t="s">
        <v>192</v>
      </c>
      <c r="D36" s="151" t="s">
        <v>193</v>
      </c>
    </row>
    <row r="37" customFormat="false" ht="15.75" hidden="false" customHeight="true" outlineLevel="0" collapsed="false">
      <c r="A37" s="151" t="s">
        <v>194</v>
      </c>
      <c r="B37" s="151" t="s">
        <v>195</v>
      </c>
      <c r="C37" s="151" t="s">
        <v>192</v>
      </c>
      <c r="D37" s="151" t="s">
        <v>193</v>
      </c>
    </row>
    <row r="38" customFormat="false" ht="15.75" hidden="false" customHeight="true" outlineLevel="0" collapsed="false">
      <c r="A38" s="151" t="s">
        <v>196</v>
      </c>
      <c r="B38" s="151" t="s">
        <v>197</v>
      </c>
      <c r="C38" s="151" t="s">
        <v>192</v>
      </c>
      <c r="D38" s="151" t="s">
        <v>198</v>
      </c>
    </row>
    <row r="39" customFormat="false" ht="15.75" hidden="false" customHeight="true" outlineLevel="0" collapsed="false">
      <c r="A39" s="152" t="s">
        <v>199</v>
      </c>
      <c r="B39" s="152" t="s">
        <v>200</v>
      </c>
      <c r="C39" s="152" t="s">
        <v>201</v>
      </c>
      <c r="D39" s="152" t="s">
        <v>202</v>
      </c>
    </row>
    <row r="40" customFormat="false" ht="15.75" hidden="false" customHeight="true" outlineLevel="0" collapsed="false">
      <c r="A40" s="153" t="s">
        <v>203</v>
      </c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</row>
    <row r="41" customFormat="false" ht="15.75" hidden="false" customHeight="true" outlineLevel="0" collapsed="false">
      <c r="A41" s="150" t="s">
        <v>204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</row>
    <row r="42" customFormat="false" ht="15.75" hidden="false" customHeight="true" outlineLevel="0" collapsed="false">
      <c r="A42" s="154" t="s">
        <v>205</v>
      </c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</row>
    <row r="43" customFormat="false" ht="15.75" hidden="false" customHeight="true" outlineLevel="0" collapsed="false">
      <c r="A43" s="154" t="s">
        <v>206</v>
      </c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sheetProtection algorithmName="SHA-512" hashValue="An8RcaPQS6f2TCpjXCgpZu9QlJmQ3iMjYMjCkB+g3zcZC0rbIFle9Z5J0pLAyIKY4yVQu8W7UjdHnAccs2ShBQ==" saltValue="Bgqaqa2y9PlWImmsWtA8Pw==" spinCount="100000" sheet="true" objects="true" scenarios="true"/>
  <mergeCells count="8">
    <mergeCell ref="B3:D3"/>
    <mergeCell ref="B31:B32"/>
    <mergeCell ref="A34:J34"/>
    <mergeCell ref="A35:O35"/>
    <mergeCell ref="A40:O40"/>
    <mergeCell ref="A41:O41"/>
    <mergeCell ref="A42:O42"/>
    <mergeCell ref="A43:O43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4.50390625" defaultRowHeight="15" zeroHeight="false" outlineLevelRow="0" outlineLevelCol="0"/>
  <cols>
    <col collapsed="false" customWidth="true" hidden="false" outlineLevel="0" max="1" min="1" style="1" width="4.5"/>
    <col collapsed="false" customWidth="true" hidden="false" outlineLevel="0" max="2" min="2" style="1" width="50.83"/>
    <col collapsed="false" customWidth="true" hidden="false" outlineLevel="0" max="3" min="3" style="1" width="18.5"/>
    <col collapsed="false" customWidth="true" hidden="false" outlineLevel="0" max="4" min="4" style="1" width="8.83"/>
    <col collapsed="false" customWidth="true" hidden="false" outlineLevel="0" max="5" min="5" style="1" width="17.83"/>
    <col collapsed="false" customWidth="true" hidden="false" outlineLevel="0" max="6" min="6" style="1" width="16.33"/>
    <col collapsed="false" customWidth="true" hidden="false" outlineLevel="0" max="26" min="7" style="1" width="10.67"/>
    <col collapsed="false" customWidth="false" hidden="false" outlineLevel="0" max="16384" min="27" style="1" width="14.5"/>
  </cols>
  <sheetData>
    <row r="2" customFormat="false" ht="49.5" hidden="false" customHeight="true" outlineLevel="0" collapsed="false">
      <c r="B2" s="2" t="s">
        <v>207</v>
      </c>
      <c r="C2" s="155"/>
      <c r="D2" s="155"/>
      <c r="E2" s="155"/>
    </row>
    <row r="4" customFormat="false" ht="15" hidden="false" customHeight="true" outlineLevel="0" collapsed="false">
      <c r="B4" s="25" t="s">
        <v>208</v>
      </c>
      <c r="C4" s="25" t="s">
        <v>209</v>
      </c>
      <c r="D4" s="25" t="s">
        <v>210</v>
      </c>
      <c r="E4" s="25" t="s">
        <v>211</v>
      </c>
      <c r="F4" s="25" t="s">
        <v>212</v>
      </c>
    </row>
    <row r="5" customFormat="false" ht="15" hidden="false" customHeight="true" outlineLevel="0" collapsed="false">
      <c r="B5" s="25" t="s">
        <v>62</v>
      </c>
      <c r="C5" s="66" t="n">
        <f aca="false">'Inversión Inicial'!C19+'Inversión Inicial'!E19+'Inversión Inicial'!H19</f>
        <v>30000</v>
      </c>
      <c r="D5" s="156" t="n">
        <v>0.21</v>
      </c>
      <c r="E5" s="157" t="n">
        <v>0.2</v>
      </c>
      <c r="F5" s="66" t="n">
        <f aca="false">C5*E5</f>
        <v>6000</v>
      </c>
    </row>
    <row r="6" customFormat="false" ht="15" hidden="false" customHeight="true" outlineLevel="0" collapsed="false">
      <c r="B6" s="30" t="s">
        <v>35</v>
      </c>
      <c r="C6" s="12" t="n">
        <f aca="false">'Inversión Inicial'!C20+'Inversión Inicial'!E20+'Inversión Inicial'!H20</f>
        <v>0</v>
      </c>
      <c r="D6" s="13" t="n">
        <v>0.21</v>
      </c>
      <c r="E6" s="31" t="n">
        <v>0.1</v>
      </c>
      <c r="F6" s="12" t="n">
        <f aca="false">C6*E6</f>
        <v>0</v>
      </c>
    </row>
    <row r="7" customFormat="false" ht="15" hidden="false" customHeight="true" outlineLevel="0" collapsed="false">
      <c r="B7" s="30" t="s">
        <v>63</v>
      </c>
      <c r="C7" s="12" t="n">
        <f aca="false">'Inversión Inicial'!C21+'Inversión Inicial'!E21+'Inversión Inicial'!H21</f>
        <v>47250</v>
      </c>
      <c r="D7" s="13" t="n">
        <v>0.21</v>
      </c>
      <c r="E7" s="31" t="n">
        <v>0.1</v>
      </c>
      <c r="F7" s="12" t="n">
        <f aca="false">C7*E7</f>
        <v>4725</v>
      </c>
    </row>
    <row r="8" customFormat="false" ht="15" hidden="false" customHeight="true" outlineLevel="0" collapsed="false">
      <c r="B8" s="30" t="s">
        <v>213</v>
      </c>
      <c r="C8" s="12" t="n">
        <f aca="false">'Inversión Inicial'!C22+'Inversión Inicial'!E22+'Inversión Inicial'!H22</f>
        <v>0</v>
      </c>
      <c r="D8" s="13" t="n">
        <v>0</v>
      </c>
      <c r="E8" s="31" t="n">
        <v>0</v>
      </c>
      <c r="F8" s="12" t="n">
        <f aca="false">C8*E8</f>
        <v>0</v>
      </c>
    </row>
    <row r="9" customFormat="false" ht="15" hidden="false" customHeight="true" outlineLevel="0" collapsed="false">
      <c r="B9" s="30" t="s">
        <v>214</v>
      </c>
      <c r="C9" s="12" t="n">
        <f aca="false">'Inversión Inicial'!C25+'Inversión Inicial'!E25+'Inversión Inicial'!H25</f>
        <v>0</v>
      </c>
      <c r="D9" s="13" t="n">
        <v>0</v>
      </c>
      <c r="E9" s="31" t="n">
        <v>0.05</v>
      </c>
      <c r="F9" s="12" t="n">
        <f aca="false">C9*E9</f>
        <v>0</v>
      </c>
    </row>
    <row r="10" customFormat="false" ht="15" hidden="false" customHeight="true" outlineLevel="0" collapsed="false">
      <c r="B10" s="30" t="s">
        <v>64</v>
      </c>
      <c r="C10" s="12" t="n">
        <f aca="false">'Inversión Inicial'!C23+'Inversión Inicial'!E23+'Inversión Inicial'!H23</f>
        <v>210.72</v>
      </c>
      <c r="D10" s="13" t="n">
        <v>0</v>
      </c>
      <c r="E10" s="31" t="n">
        <v>0.1</v>
      </c>
      <c r="F10" s="12" t="n">
        <f aca="false">C10*E10</f>
        <v>21.072</v>
      </c>
    </row>
    <row r="11" customFormat="false" ht="15" hidden="false" customHeight="true" outlineLevel="0" collapsed="false">
      <c r="B11" s="30" t="s">
        <v>65</v>
      </c>
      <c r="C11" s="12" t="n">
        <f aca="false">'Inversión Inicial'!C24+'Inversión Inicial'!E24+'Inversión Inicial'!H24</f>
        <v>5000</v>
      </c>
      <c r="D11" s="13" t="n">
        <v>0.21</v>
      </c>
      <c r="E11" s="31" t="n">
        <v>0</v>
      </c>
      <c r="F11" s="12" t="n">
        <f aca="false">C11*E11</f>
        <v>0</v>
      </c>
    </row>
    <row r="12" customFormat="false" ht="15" hidden="false" customHeight="true" outlineLevel="0" collapsed="false">
      <c r="B12" s="52" t="s">
        <v>215</v>
      </c>
      <c r="C12" s="52"/>
      <c r="D12" s="52"/>
      <c r="E12" s="52"/>
      <c r="F12" s="32" t="n">
        <f aca="false">SUM(F5:F11)</f>
        <v>10746.072</v>
      </c>
    </row>
    <row r="14" customFormat="false" ht="15" hidden="false" customHeight="true" outlineLevel="0" collapsed="false">
      <c r="B14" s="52" t="s">
        <v>208</v>
      </c>
      <c r="C14" s="52" t="s">
        <v>209</v>
      </c>
      <c r="D14" s="52" t="s">
        <v>210</v>
      </c>
      <c r="E14" s="52" t="s">
        <v>211</v>
      </c>
      <c r="F14" s="52" t="s">
        <v>212</v>
      </c>
    </row>
    <row r="15" customFormat="false" ht="15" hidden="false" customHeight="true" outlineLevel="0" collapsed="false">
      <c r="B15" s="30" t="s">
        <v>13</v>
      </c>
      <c r="C15" s="12" t="n">
        <f aca="false">'Inversión Inicial'!C7+'Inversión Inicial'!E7+'Inversión Inicial'!H7</f>
        <v>0</v>
      </c>
      <c r="D15" s="13" t="n">
        <v>0.21</v>
      </c>
      <c r="E15" s="31" t="n">
        <v>0.03</v>
      </c>
      <c r="F15" s="12" t="n">
        <f aca="false">C15*E15</f>
        <v>0</v>
      </c>
    </row>
    <row r="16" customFormat="false" ht="15" hidden="false" customHeight="true" outlineLevel="0" collapsed="false">
      <c r="B16" s="30" t="s">
        <v>15</v>
      </c>
      <c r="C16" s="12" t="n">
        <f aca="false">'Inversión Inicial'!C8+'Inversión Inicial'!E8+'Inversión Inicial'!H8</f>
        <v>0</v>
      </c>
      <c r="D16" s="13" t="n">
        <v>0.21</v>
      </c>
      <c r="E16" s="31" t="n">
        <v>0.1</v>
      </c>
      <c r="F16" s="12" t="n">
        <f aca="false">C16*E16</f>
        <v>0</v>
      </c>
    </row>
    <row r="17" customFormat="false" ht="15" hidden="false" customHeight="true" outlineLevel="0" collapsed="false">
      <c r="B17" s="30" t="s">
        <v>17</v>
      </c>
      <c r="C17" s="12" t="n">
        <f aca="false">'Inversión Inicial'!C9+'Inversión Inicial'!E9+'Inversión Inicial'!H9</f>
        <v>0</v>
      </c>
      <c r="D17" s="13" t="n">
        <v>0.21</v>
      </c>
      <c r="E17" s="31" t="n">
        <v>0.12</v>
      </c>
      <c r="F17" s="12" t="n">
        <f aca="false">C17*E17</f>
        <v>0</v>
      </c>
    </row>
    <row r="18" customFormat="false" ht="15" hidden="false" customHeight="true" outlineLevel="0" collapsed="false">
      <c r="B18" s="30" t="s">
        <v>18</v>
      </c>
      <c r="C18" s="12" t="n">
        <f aca="false">'Inversión Inicial'!C10+'Inversión Inicial'!E10+'Inversión Inicial'!H10</f>
        <v>0</v>
      </c>
      <c r="D18" s="13" t="n">
        <v>0.21</v>
      </c>
      <c r="E18" s="31" t="n">
        <v>0.1</v>
      </c>
      <c r="F18" s="12" t="n">
        <f aca="false">C18*E18</f>
        <v>0</v>
      </c>
    </row>
    <row r="19" customFormat="false" ht="15" hidden="false" customHeight="true" outlineLevel="0" collapsed="false">
      <c r="B19" s="30" t="s">
        <v>20</v>
      </c>
      <c r="C19" s="12" t="n">
        <f aca="false">'Inversión Inicial'!C11+'Inversión Inicial'!E11+'Inversión Inicial'!H11</f>
        <v>0</v>
      </c>
      <c r="D19" s="13" t="n">
        <v>0.21</v>
      </c>
      <c r="E19" s="31" t="n">
        <v>0.1</v>
      </c>
      <c r="F19" s="12" t="n">
        <f aca="false">C19*E19</f>
        <v>0</v>
      </c>
    </row>
    <row r="20" customFormat="false" ht="15" hidden="false" customHeight="true" outlineLevel="0" collapsed="false">
      <c r="B20" s="30" t="s">
        <v>22</v>
      </c>
      <c r="C20" s="12" t="n">
        <f aca="false">'Inversión Inicial'!C12+'Inversión Inicial'!E12+'Inversión Inicial'!H12</f>
        <v>0</v>
      </c>
      <c r="D20" s="13" t="n">
        <v>0.21</v>
      </c>
      <c r="E20" s="31" t="n">
        <v>0.3</v>
      </c>
      <c r="F20" s="12" t="n">
        <f aca="false">C20*E20</f>
        <v>0</v>
      </c>
    </row>
    <row r="21" customFormat="false" ht="15.75" hidden="false" customHeight="true" outlineLevel="0" collapsed="false">
      <c r="B21" s="30" t="s">
        <v>24</v>
      </c>
      <c r="C21" s="12" t="n">
        <f aca="false">'Inversión Inicial'!C13+'Inversión Inicial'!E13+'Inversión Inicial'!H13</f>
        <v>0</v>
      </c>
      <c r="D21" s="13" t="n">
        <v>0.21</v>
      </c>
      <c r="E21" s="31" t="n">
        <v>0.16</v>
      </c>
      <c r="F21" s="12" t="n">
        <f aca="false">C21*E21</f>
        <v>0</v>
      </c>
    </row>
    <row r="22" customFormat="false" ht="15.75" hidden="false" customHeight="true" outlineLevel="0" collapsed="false">
      <c r="B22" s="30" t="s">
        <v>26</v>
      </c>
      <c r="C22" s="12" t="n">
        <f aca="false">'Inversión Inicial'!C14+'Inversión Inicial'!E14+'Inversión Inicial'!H14</f>
        <v>0</v>
      </c>
      <c r="D22" s="13" t="n">
        <v>0.21</v>
      </c>
      <c r="E22" s="31" t="n">
        <v>0.26</v>
      </c>
      <c r="F22" s="12" t="n">
        <f aca="false">C22*E22</f>
        <v>0</v>
      </c>
    </row>
    <row r="23" customFormat="false" ht="15.75" hidden="false" customHeight="true" outlineLevel="0" collapsed="false">
      <c r="B23" s="30" t="s">
        <v>61</v>
      </c>
      <c r="C23" s="12" t="n">
        <f aca="false">'Inversión Inicial'!C15+'Inversión Inicial'!E15+'Inversión Inicial'!H15</f>
        <v>10000</v>
      </c>
      <c r="D23" s="13" t="n">
        <v>0.21</v>
      </c>
      <c r="E23" s="31" t="n">
        <v>0.1</v>
      </c>
      <c r="F23" s="12" t="n">
        <f aca="false">C23*E23</f>
        <v>1000</v>
      </c>
    </row>
    <row r="24" customFormat="false" ht="15.75" hidden="false" customHeight="true" outlineLevel="0" collapsed="false">
      <c r="B24" s="52" t="s">
        <v>216</v>
      </c>
      <c r="C24" s="52"/>
      <c r="D24" s="52"/>
      <c r="E24" s="52"/>
      <c r="F24" s="32" t="n">
        <f aca="false">SUM(F15:F23)</f>
        <v>1000</v>
      </c>
    </row>
    <row r="25" customFormat="false" ht="15.75" hidden="false" customHeight="true" outlineLevel="0" collapsed="false"/>
    <row r="26" customFormat="false" ht="15.75" hidden="false" customHeight="true" outlineLevel="0" collapsed="false">
      <c r="B26" s="122" t="s">
        <v>146</v>
      </c>
    </row>
    <row r="27" customFormat="false" ht="15.75" hidden="false" customHeight="true" outlineLevel="0" collapsed="false">
      <c r="B27" s="122" t="s">
        <v>217</v>
      </c>
    </row>
    <row r="28" customFormat="false" ht="15.75" hidden="false" customHeight="true" outlineLevel="0" collapsed="false">
      <c r="B28" s="122" t="s">
        <v>218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sheetProtection algorithmName="SHA-512" hashValue="3ihXbEsBTucT/1MFejCjYPm0vhvmlPtXBe2ZZFngE40oMU2e744c4OT9ktewQtkJfqquHzQPvm4o0EqwCYKOBw==" saltValue="LTUCZMqIsWMVvv6HAPdHdw==" spinCount="100000" sheet="true" objects="true" scenarios="true"/>
  <mergeCells count="2">
    <mergeCell ref="B12:E12"/>
    <mergeCell ref="B24:E24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4.50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.67"/>
    <col collapsed="false" customWidth="true" hidden="false" outlineLevel="0" max="3" min="3" style="1" width="13.33"/>
    <col collapsed="false" customWidth="true" hidden="false" outlineLevel="0" max="16" min="4" style="1" width="11.83"/>
    <col collapsed="false" customWidth="true" hidden="false" outlineLevel="0" max="26" min="17" style="1" width="10.67"/>
    <col collapsed="false" customWidth="false" hidden="false" outlineLevel="0" max="16384" min="27" style="1" width="14.5"/>
  </cols>
  <sheetData>
    <row r="1" customFormat="false" ht="15" hidden="false" customHeight="true" outlineLevel="0" collapsed="false">
      <c r="A1" s="2" t="s">
        <v>219</v>
      </c>
    </row>
    <row r="3" customFormat="false" ht="49.5" hidden="false" customHeight="true" outlineLevel="0" collapsed="false">
      <c r="B3" s="155"/>
      <c r="C3" s="25" t="s">
        <v>220</v>
      </c>
      <c r="D3" s="25"/>
      <c r="E3" s="25"/>
      <c r="F3" s="155"/>
    </row>
    <row r="5" customFormat="false" ht="15" hidden="false" customHeight="true" outlineLevel="0" collapsed="false">
      <c r="D5" s="25" t="s">
        <v>221</v>
      </c>
      <c r="E5" s="25" t="s">
        <v>121</v>
      </c>
      <c r="F5" s="25" t="s">
        <v>122</v>
      </c>
      <c r="G5" s="25" t="s">
        <v>123</v>
      </c>
      <c r="H5" s="25" t="s">
        <v>134</v>
      </c>
      <c r="I5" s="25" t="s">
        <v>135</v>
      </c>
      <c r="J5" s="25" t="s">
        <v>136</v>
      </c>
      <c r="K5" s="52" t="s">
        <v>139</v>
      </c>
      <c r="L5" s="52" t="s">
        <v>140</v>
      </c>
      <c r="M5" s="52" t="s">
        <v>141</v>
      </c>
      <c r="N5" s="52" t="s">
        <v>143</v>
      </c>
      <c r="O5" s="52" t="s">
        <v>144</v>
      </c>
      <c r="P5" s="52" t="s">
        <v>145</v>
      </c>
    </row>
    <row r="6" customFormat="false" ht="15" hidden="false" customHeight="true" outlineLevel="0" collapsed="false">
      <c r="B6" s="30" t="s">
        <v>222</v>
      </c>
      <c r="C6" s="30"/>
      <c r="D6" s="158"/>
      <c r="E6" s="12" t="n">
        <f aca="false">('Costes produción y ventas'!E13*'Costes produción y ventas'!H21)+('Costes produción y ventas'!E14*'Costes produción y ventas'!H29)+('Costes produción y ventas'!E15*'Costes produción y ventas'!H37)+('Costes produción y ventas'!E16*'Costes produción y ventas'!H45)+('Costes produción y ventas'!E17*'Costes produción y ventas'!H53)</f>
        <v>0</v>
      </c>
      <c r="F6" s="12" t="n">
        <f aca="false">('Costes produción y ventas'!E13*'Costes produción y ventas'!I21)+('Costes produción y ventas'!E14*'Costes produción y ventas'!I29)+('Costes produción y ventas'!E15*'Costes produción y ventas'!I37)+('Costes produción y ventas'!E16*'Costes produción y ventas'!I45)+('Costes produción y ventas'!E17*'Costes produción y ventas'!I53)</f>
        <v>0</v>
      </c>
      <c r="G6" s="12" t="n">
        <f aca="false">('Costes produción y ventas'!E13*'Costes produción y ventas'!J21)+('Costes produción y ventas'!E14*'Costes produción y ventas'!J29)+('Costes produción y ventas'!E15*'Costes produción y ventas'!J37)+('Costes produción y ventas'!E16*'Costes produción y ventas'!J45)+('Costes produción y ventas'!E17*'Costes produción y ventas'!J53)</f>
        <v>605</v>
      </c>
      <c r="H6" s="12" t="n">
        <f aca="false">('Costes produción y ventas'!E13*'Costes produción y ventas'!K21)+('Costes produción y ventas'!E14*'Costes produción y ventas'!K29)+('Costes produción y ventas'!E15*'Costes produción y ventas'!K37)+('Costes produción y ventas'!E16*'Costes produción y ventas'!K45)+('Costes produción y ventas'!E17*'Costes produción y ventas'!K53)</f>
        <v>1512.5</v>
      </c>
      <c r="I6" s="12" t="n">
        <f aca="false">('Costes produción y ventas'!E13*'Costes produción y ventas'!L21)+('Costes produción y ventas'!E14*'Costes produción y ventas'!L29)+('Costes produción y ventas'!E15*'Costes produción y ventas'!L37)+('Costes produción y ventas'!E16*'Costes produción y ventas'!L45)+('Costes produción y ventas'!E17*'Costes produción y ventas'!L53)</f>
        <v>1815</v>
      </c>
      <c r="J6" s="12" t="n">
        <f aca="false">('Costes produción y ventas'!E13*'Costes produción y ventas'!M21)+('Costes produción y ventas'!E14*'Costes produción y ventas'!M29)+('Costes produción y ventas'!E15*'Costes produción y ventas'!M37)+('Costes produción y ventas'!E16*'Costes produción y ventas'!M45)+('Costes produción y ventas'!E17*'Costes produción y ventas'!M53)</f>
        <v>3932.5</v>
      </c>
      <c r="K6" s="12" t="n">
        <f aca="false">('Costes produción y ventas'!E13*'Costes produción y ventas'!N21)+('Costes produción y ventas'!E14*'Costes produción y ventas'!N29)+('Costes produción y ventas'!E15*'Costes produción y ventas'!N37)+('Costes produción y ventas'!E16*'Costes produción y ventas'!N45)+('Costes produción y ventas'!E17*'Costes produción y ventas'!N53)</f>
        <v>5687</v>
      </c>
      <c r="L6" s="12" t="n">
        <f aca="false">('Costes produción y ventas'!E13*'Costes produción y ventas'!O21)+('Costes produción y ventas'!E14*'Costes produción y ventas'!O29)+('Costes produción y ventas'!E15*'Costes produción y ventas'!O37)+('Costes produción y ventas'!E16*'Costes produción y ventas'!O45)+('Costes produción y ventas'!E17*'Costes produción y ventas'!O53)</f>
        <v>7401.16666666667</v>
      </c>
      <c r="M6" s="12" t="n">
        <f aca="false">('Costes produción y ventas'!E13*'Costes produción y ventas'!P21)+('Costes produción y ventas'!E14*'Costes produción y ventas'!P29)+('Costes produción y ventas'!E15*'Costes produción y ventas'!P37)+('Costes produción y ventas'!E16*'Costes produción y ventas'!P45)+('Costes produción y ventas'!E17*'Costes produción y ventas'!P53)</f>
        <v>7703.66666666667</v>
      </c>
      <c r="N6" s="12" t="n">
        <f aca="false">('Costes produción y ventas'!E13*'Costes produción y ventas'!Q21)+('Costes produción y ventas'!E14*'Costes produción y ventas'!Q29)+('Costes produción y ventas'!E15*'Costes produción y ventas'!Q37)+('Costes produción y ventas'!E16*'Costes produción y ventas'!Q45)+('Costes produción y ventas'!E17*'Costes produción y ventas'!Q53)</f>
        <v>8006.16666666667</v>
      </c>
      <c r="O6" s="12" t="n">
        <f aca="false">('Costes produción y ventas'!E13*'Costes produción y ventas'!R21)+('Costes produción y ventas'!E14*'Costes produción y ventas'!R29)+('Costes produción y ventas'!E15*'Costes produción y ventas'!R37)+('Costes produción y ventas'!E16*'Costes produción y ventas'!R45)+('Costes produción y ventas'!E17*'Costes produción y ventas'!R53)</f>
        <v>5989.5</v>
      </c>
      <c r="P6" s="12" t="n">
        <f aca="false">('Costes produción y ventas'!E13*'Costes produción y ventas'!S21)+('Costes produción y ventas'!E14*'Costes produción y ventas'!S29)+('Costes produción y ventas'!E15*'Costes produción y ventas'!S37)+('Costes produción y ventas'!E16*'Costes produción y ventas'!S45)+('Costes produción y ventas'!E17*'Costes produción y ventas'!S53)</f>
        <v>5142.5</v>
      </c>
    </row>
    <row r="7" customFormat="false" ht="15" hidden="false" customHeight="true" outlineLevel="0" collapsed="false">
      <c r="B7" s="48" t="s">
        <v>223</v>
      </c>
      <c r="C7" s="48"/>
      <c r="D7" s="159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</row>
    <row r="8" customFormat="false" ht="15" hidden="false" customHeight="true" outlineLevel="0" collapsed="false">
      <c r="B8" s="48" t="s">
        <v>70</v>
      </c>
      <c r="C8" s="48"/>
      <c r="D8" s="161" t="n">
        <v>0</v>
      </c>
      <c r="E8" s="162"/>
    </row>
    <row r="9" customFormat="false" ht="15" hidden="false" customHeight="true" outlineLevel="0" collapsed="false">
      <c r="B9" s="48" t="s">
        <v>224</v>
      </c>
      <c r="C9" s="48"/>
      <c r="D9" s="161" t="n">
        <v>180000</v>
      </c>
      <c r="E9" s="163"/>
    </row>
    <row r="10" customFormat="false" ht="15" hidden="false" customHeight="true" outlineLevel="0" collapsed="false">
      <c r="D10" s="164"/>
    </row>
    <row r="11" customFormat="false" ht="15" hidden="false" customHeight="true" outlineLevel="0" collapsed="false">
      <c r="A11" s="143"/>
      <c r="B11" s="45" t="s">
        <v>225</v>
      </c>
      <c r="C11" s="45"/>
      <c r="D11" s="165" t="n">
        <f aca="false">D8+D9</f>
        <v>180000</v>
      </c>
      <c r="E11" s="166" t="n">
        <f aca="false">SUM(E6:E7)</f>
        <v>0</v>
      </c>
      <c r="F11" s="166" t="n">
        <f aca="false">SUM(F6:F7)</f>
        <v>0</v>
      </c>
      <c r="G11" s="166" t="n">
        <f aca="false">SUM(G6:G7)</f>
        <v>605</v>
      </c>
      <c r="H11" s="166" t="n">
        <f aca="false">SUM(H6:H7)</f>
        <v>1512.5</v>
      </c>
      <c r="I11" s="166" t="n">
        <f aca="false">SUM(I6:I7)</f>
        <v>1815</v>
      </c>
      <c r="J11" s="166" t="n">
        <f aca="false">SUM(J6:J7)</f>
        <v>3932.5</v>
      </c>
      <c r="K11" s="166" t="n">
        <f aca="false">SUM(K6:K7)</f>
        <v>5687</v>
      </c>
      <c r="L11" s="166" t="n">
        <f aca="false">SUM(L6:L7)</f>
        <v>7401.16666666667</v>
      </c>
      <c r="M11" s="166" t="n">
        <f aca="false">SUM(M6:M7)</f>
        <v>7703.66666666667</v>
      </c>
      <c r="N11" s="166" t="n">
        <f aca="false">SUM(N6:N7)</f>
        <v>8006.16666666667</v>
      </c>
      <c r="O11" s="166" t="n">
        <f aca="false">SUM(O6:O7)</f>
        <v>5989.5</v>
      </c>
      <c r="P11" s="166" t="n">
        <f aca="false">SUM(P6:P7)</f>
        <v>5142.5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customFormat="false" ht="15" hidden="false" customHeight="true" outlineLevel="0" collapsed="false">
      <c r="B12" s="30" t="s">
        <v>226</v>
      </c>
      <c r="C12" s="30"/>
      <c r="D12" s="167"/>
      <c r="E12" s="12" t="n">
        <f aca="false">'Gastos de Personal'!C32</f>
        <v>2900</v>
      </c>
      <c r="F12" s="12" t="n">
        <f aca="false">'Gastos de Personal'!D32</f>
        <v>2900</v>
      </c>
      <c r="G12" s="12" t="n">
        <f aca="false">'Gastos de Personal'!E32</f>
        <v>2900</v>
      </c>
      <c r="H12" s="12" t="n">
        <f aca="false">'Gastos de Personal'!F32</f>
        <v>2900</v>
      </c>
      <c r="I12" s="12" t="n">
        <f aca="false">'Gastos de Personal'!G32</f>
        <v>2900</v>
      </c>
      <c r="J12" s="12" t="n">
        <f aca="false">'Gastos de Personal'!H32</f>
        <v>5933.33333333333</v>
      </c>
      <c r="K12" s="12" t="n">
        <f aca="false">'Gastos de Personal'!I32</f>
        <v>5933.33333333333</v>
      </c>
      <c r="L12" s="12" t="n">
        <f aca="false">'Gastos de Personal'!J32</f>
        <v>5933.33333333333</v>
      </c>
      <c r="M12" s="12" t="n">
        <f aca="false">'Gastos de Personal'!K32</f>
        <v>5933.33333333333</v>
      </c>
      <c r="N12" s="12" t="n">
        <f aca="false">'Gastos de Personal'!L32</f>
        <v>5933.33333333333</v>
      </c>
      <c r="O12" s="12" t="n">
        <f aca="false">'Gastos de Personal'!M32</f>
        <v>4200</v>
      </c>
      <c r="P12" s="12" t="n">
        <f aca="false">'Gastos de Personal'!N32</f>
        <v>4200</v>
      </c>
    </row>
    <row r="13" customFormat="false" ht="29.25" hidden="false" customHeight="true" outlineLevel="0" collapsed="false">
      <c r="B13" s="30" t="s">
        <v>227</v>
      </c>
      <c r="C13" s="30"/>
      <c r="D13" s="168"/>
      <c r="E13" s="12" t="n">
        <f aca="false">('Costes produción y ventas'!E4*'Costes produción y ventas'!H21)+('Costes produción y ventas'!E5*'Costes produción y ventas'!H29)+('Costes produción y ventas'!E6*'Costes produción y ventas'!H37)+('Costes produción y ventas'!E7*'Costes produción y ventas'!H45)+('Costes produción y ventas'!E8*'Costes produción y ventas'!H53)+'Gasto Fijos y Variables'!G23+'Gasto Fijos y Variables'!G43</f>
        <v>1572.16666666667</v>
      </c>
      <c r="F13" s="12" t="n">
        <f aca="false">('Costes produción y ventas'!E4*'Costes produción y ventas'!I21)+('Costes produción y ventas'!E5*'Costes produción y ventas'!I29)+('Costes produción y ventas'!E6*'Costes produción y ventas'!I37)+('Costes produción y ventas'!E7*'Costes produción y ventas'!I45)+('Costes produción y ventas'!E8*'Costes produción y ventas'!I53)+'Gasto Fijos y Variables'!K23+'Gasto Fijos y Variables'!K43</f>
        <v>1572.16666666667</v>
      </c>
      <c r="G13" s="12" t="n">
        <f aca="false">('Costes produción y ventas'!E4*'Costes produción y ventas'!J21)+('Costes produción y ventas'!E5*'Costes produción y ventas'!J29)+('Costes produción y ventas'!E6*'Costes produción y ventas'!J37)+('Costes produción y ventas'!E7*'Costes produción y ventas'!J45)+('Costes produción y ventas'!E8*'Costes produción y ventas'!J53)+'Gasto Fijos y Variables'!O23+'Gasto Fijos y Variables'!O43</f>
        <v>1729.46666666667</v>
      </c>
      <c r="H13" s="12" t="n">
        <f aca="false">('Costes produción y ventas'!E4*'Costes produción y ventas'!K21)+('Costes produción y ventas'!E5*'Costes produción y ventas'!K29)+('Costes produción y ventas'!E6*'Costes produción y ventas'!K37)+('Costes produción y ventas'!E7*'Costes produción y ventas'!K45)+('Costes produción y ventas'!E8*'Costes produción y ventas'!K53)+'Gasto Fijos y Variables'!S23+'Gasto Fijos y Variables'!S43</f>
        <v>1989.61666666667</v>
      </c>
      <c r="I13" s="12" t="n">
        <f aca="false">('Costes produción y ventas'!E4*'Costes produción y ventas'!L21)+('Costes produción y ventas'!E5*'Costes produción y ventas'!L29)+('Costes produción y ventas'!E6*'Costes produción y ventas'!L37)+('Costes produción y ventas'!E7*'Costes produción y ventas'!L45)+('Costes produción y ventas'!E8*'Costes produción y ventas'!L53)+'Gasto Fijos y Variables'!W23+'Gasto Fijos y Variables'!W43</f>
        <v>2068.26666666667</v>
      </c>
      <c r="J13" s="12" t="n">
        <f aca="false">('Costes produción y ventas'!E4*'Costes produción y ventas'!M21)+('Costes produción y ventas'!E5*'Costes produción y ventas'!M29)+('Costes produción y ventas'!E6*'Costes produción y ventas'!M37)+('Costes produción y ventas'!E7*'Costes produción y ventas'!M45)+('Costes produción y ventas'!E8*'Costes produción y ventas'!M53)+'Gasto Fijos y Variables'!AA23+'Gasto Fijos y Variables'!AA43</f>
        <v>2509.91666666667</v>
      </c>
      <c r="K13" s="12" t="n">
        <f aca="false">('Costes produción y ventas'!E4*'Costes produción y ventas'!N21)+('Costes produción y ventas'!E5*'Costes produción y ventas'!N29)+('Costes produción y ventas'!E6*'Costes produción y ventas'!N37)+('Costes produción y ventas'!E7*'Costes produción y ventas'!N45)+('Costes produción y ventas'!E8*'Costes produción y ventas'!N53)+'Gasto Fijos y Variables'!AE23+'Gasto Fijos y Variables'!AE43</f>
        <v>3072.56666666667</v>
      </c>
      <c r="L13" s="12" t="n">
        <f aca="false">('Costes produción y ventas'!E4*'Costes produción y ventas'!O21)+('Costes produción y ventas'!E5*'Costes produción y ventas'!O29)+('Costes produción y ventas'!E6*'Costes produción y ventas'!O37)+('Costes produción y ventas'!E7*'Costes produción y ventas'!O45)+('Costes produción y ventas'!E8*'Costes produción y ventas'!O53)+'Gasto Fijos y Variables'!AI23+'Gasto Fijos y Variables'!AI43</f>
        <v>3624.93166666667</v>
      </c>
      <c r="M13" s="12" t="n">
        <f aca="false">('Costes produción y ventas'!E4*'Costes produción y ventas'!P21)+('Costes produción y ventas'!E5*'Costes produción y ventas'!P29)+('Costes produción y ventas'!E6*'Costes produción y ventas'!P37)+('Costes produción y ventas'!E7*'Costes produción y ventas'!P45)+('Costes produción y ventas'!E8*'Costes produción y ventas'!P53)+'Gasto Fijos y Variables'!AM23+'Gasto Fijos y Variables'!AM43</f>
        <v>3703.58166666667</v>
      </c>
      <c r="N13" s="12" t="n">
        <f aca="false">('Costes produción y ventas'!E4*'Costes produción y ventas'!Q21)+('Costes produción y ventas'!E5*'Costes produción y ventas'!Q29)+('Costes produción y ventas'!E6*'Costes produción y ventas'!Q37)+('Costes produción y ventas'!E7*'Costes produción y ventas'!Q45)+('Costes produción y ventas'!E8*'Costes produción y ventas'!Q53)+'Gasto Fijos y Variables'!AQ23+'Gasto Fijos y Variables'!AQ43</f>
        <v>3782.23166666667</v>
      </c>
      <c r="O13" s="12" t="n">
        <f aca="false">('Costes produción y ventas'!E4*'Costes produción y ventas'!R21)+('Costes produción y ventas'!E5*'Costes produción y ventas'!R29)+('Costes produción y ventas'!E6*'Costes produción y ventas'!R37)+('Costes produción y ventas'!E7*'Costes produción y ventas'!R45)+('Costes produción y ventas'!E8*'Costes produción y ventas'!R53)+'Gasto Fijos y Variables'!AU23+'Gasto Fijos y Variables'!AU43</f>
        <v>3260.11666666667</v>
      </c>
      <c r="P13" s="12" t="n">
        <f aca="false">('Costes produción y ventas'!E4*'Costes produción y ventas'!S21)+('Costes produción y ventas'!E5*'Costes produción y ventas'!S29)+('Costes produción y ventas'!E6*'Costes produción y ventas'!S37)+('Costes produción y ventas'!E7*'Costes produción y ventas'!S45)+('Costes produción y ventas'!E8*'Costes produción y ventas'!S53)+'Gasto Fijos y Variables'!AY23+'Gasto Fijos y Variables'!AY43</f>
        <v>1361.25</v>
      </c>
    </row>
    <row r="14" customFormat="false" ht="15" hidden="false" customHeight="true" outlineLevel="0" collapsed="false">
      <c r="B14" s="126" t="s">
        <v>228</v>
      </c>
      <c r="C14" s="126"/>
      <c r="D14" s="169"/>
      <c r="E14" s="170"/>
      <c r="F14" s="170"/>
      <c r="G14" s="170"/>
      <c r="H14" s="12" t="n">
        <f aca="false">'Liquidación de IVA'!C9+'Liquidación de IVA'!D9+'Liquidación de IVA'!E9</f>
        <v>-20061.3</v>
      </c>
      <c r="I14" s="170"/>
      <c r="J14" s="170"/>
      <c r="K14" s="12" t="n">
        <f aca="false">'Liquidación de IVA'!C15+'Liquidación de IVA'!D15+'Liquidación de IVA'!E15</f>
        <v>172.2</v>
      </c>
      <c r="L14" s="170"/>
      <c r="M14" s="170"/>
      <c r="N14" s="12" t="n">
        <f aca="false">'Liquidación de IVA'!C21+'Liquidación de IVA'!D21+'Liquidación de IVA'!E21</f>
        <v>1855.42</v>
      </c>
      <c r="O14" s="170"/>
      <c r="P14" s="12" t="n">
        <v>0</v>
      </c>
    </row>
    <row r="15" customFormat="false" ht="14.25" hidden="false" customHeight="true" outlineLevel="0" collapsed="false">
      <c r="B15" s="30" t="s">
        <v>229</v>
      </c>
      <c r="C15" s="30"/>
      <c r="D15" s="168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</row>
    <row r="16" s="171" customFormat="true" ht="15" hidden="false" customHeight="true" outlineLevel="0" collapsed="false">
      <c r="B16" s="30" t="s">
        <v>230</v>
      </c>
      <c r="C16" s="172"/>
      <c r="D16" s="160"/>
      <c r="E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F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G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H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I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J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K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L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M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N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O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P16" s="12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</row>
    <row r="17" customFormat="false" ht="15" hidden="false" customHeight="true" outlineLevel="0" collapsed="false">
      <c r="B17" s="30" t="s">
        <v>231</v>
      </c>
      <c r="C17" s="172"/>
      <c r="D17" s="161" t="n">
        <f aca="false">'Pago de Inversiones'!E25</f>
        <v>0</v>
      </c>
      <c r="E17" s="12" t="n">
        <f aca="false">'Pago de Inversiones'!G25</f>
        <v>0</v>
      </c>
      <c r="F17" s="12" t="n">
        <f aca="false">'Pago de Inversiones'!I25</f>
        <v>0</v>
      </c>
      <c r="G17" s="12" t="n">
        <f aca="false">'Pago de Inversiones'!K25</f>
        <v>0</v>
      </c>
      <c r="H17" s="12" t="n">
        <f aca="false">'Pago de Inversiones'!M25</f>
        <v>0</v>
      </c>
      <c r="I17" s="12" t="n">
        <f aca="false">'Pago de Inversiones'!O25</f>
        <v>0</v>
      </c>
      <c r="J17" s="12" t="n">
        <f aca="false">'Pago de Inversiones'!Q25</f>
        <v>0</v>
      </c>
      <c r="K17" s="12" t="n">
        <f aca="false">'Pago de Inversiones'!S25</f>
        <v>0</v>
      </c>
      <c r="L17" s="12" t="n">
        <f aca="false">'Pago de Inversiones'!U25</f>
        <v>0</v>
      </c>
      <c r="M17" s="12" t="n">
        <f aca="false">'Pago de Inversiones'!W25</f>
        <v>0</v>
      </c>
      <c r="N17" s="12" t="n">
        <f aca="false">'Pago de Inversiones'!Y25</f>
        <v>0</v>
      </c>
      <c r="O17" s="12" t="n">
        <f aca="false">'Pago de Inversiones'!AA25</f>
        <v>0</v>
      </c>
      <c r="P17" s="12" t="n">
        <f aca="false">'Pago de Inversiones'!AC25</f>
        <v>0</v>
      </c>
    </row>
    <row r="18" customFormat="false" ht="15.75" hidden="false" customHeight="true" outlineLevel="0" collapsed="false">
      <c r="A18" s="143"/>
      <c r="B18" s="52" t="s">
        <v>232</v>
      </c>
      <c r="C18" s="173"/>
      <c r="D18" s="166" t="n">
        <f aca="false">D16+D17</f>
        <v>0</v>
      </c>
      <c r="E18" s="166" t="n">
        <f aca="false">SUM(E12:E17)</f>
        <v>5522.16666666667</v>
      </c>
      <c r="F18" s="166" t="n">
        <f aca="false">SUM(F12:F17)</f>
        <v>5522.16666666667</v>
      </c>
      <c r="G18" s="166" t="n">
        <f aca="false">SUM(G12:G17)</f>
        <v>5679.46666666667</v>
      </c>
      <c r="H18" s="166" t="n">
        <f aca="false">SUM(H12:H17)</f>
        <v>-14121.6833333333</v>
      </c>
      <c r="I18" s="166" t="n">
        <f aca="false">SUM(I12:I17)</f>
        <v>6018.26666666667</v>
      </c>
      <c r="J18" s="166" t="n">
        <f aca="false">SUM(J12:J17)</f>
        <v>9493.25</v>
      </c>
      <c r="K18" s="166" t="n">
        <f aca="false">SUM(K12:K17)</f>
        <v>10228.1</v>
      </c>
      <c r="L18" s="166" t="n">
        <f aca="false">SUM(L12:L17)</f>
        <v>10608.265</v>
      </c>
      <c r="M18" s="166" t="n">
        <f aca="false">SUM(M12:M17)</f>
        <v>10686.915</v>
      </c>
      <c r="N18" s="166" t="n">
        <f aca="false">SUM(N12:N17)</f>
        <v>12620.985</v>
      </c>
      <c r="O18" s="166" t="n">
        <f aca="false">SUM(O12:O17)</f>
        <v>8510.11666666667</v>
      </c>
      <c r="P18" s="166" t="n">
        <f aca="false">SUM(P12:P17)</f>
        <v>6611.25</v>
      </c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customFormat="false" ht="15.75" hidden="false" customHeight="true" outlineLevel="0" collapsed="false">
      <c r="A19" s="143"/>
      <c r="B19" s="52" t="s">
        <v>233</v>
      </c>
      <c r="C19" s="173"/>
      <c r="D19" s="166" t="n">
        <f aca="false">D11-D18</f>
        <v>180000</v>
      </c>
      <c r="E19" s="166" t="n">
        <f aca="false">E11-E18</f>
        <v>-5522.16666666667</v>
      </c>
      <c r="F19" s="166" t="n">
        <f aca="false">F11-F18</f>
        <v>-5522.16666666667</v>
      </c>
      <c r="G19" s="166" t="n">
        <f aca="false">G11-G18</f>
        <v>-5074.46666666667</v>
      </c>
      <c r="H19" s="166" t="n">
        <f aca="false">H11-H18</f>
        <v>15634.1833333333</v>
      </c>
      <c r="I19" s="166" t="n">
        <f aca="false">I11-I18</f>
        <v>-4203.26666666667</v>
      </c>
      <c r="J19" s="166" t="n">
        <f aca="false">J11-J18</f>
        <v>-5560.74999999999</v>
      </c>
      <c r="K19" s="166" t="n">
        <f aca="false">K11-K18</f>
        <v>-4541.1</v>
      </c>
      <c r="L19" s="166" t="n">
        <f aca="false">L11-L18</f>
        <v>-3207.09833333333</v>
      </c>
      <c r="M19" s="166" t="n">
        <f aca="false">M11-M18</f>
        <v>-2983.24833333332</v>
      </c>
      <c r="N19" s="166" t="n">
        <f aca="false">N11-N18</f>
        <v>-4614.81833333333</v>
      </c>
      <c r="O19" s="166" t="n">
        <f aca="false">O11-O18</f>
        <v>-2520.61666666667</v>
      </c>
      <c r="P19" s="166" t="n">
        <f aca="false">P11-P18</f>
        <v>-1468.75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customFormat="false" ht="15.75" hidden="false" customHeight="true" outlineLevel="0" collapsed="false">
      <c r="A20" s="143"/>
      <c r="B20" s="126" t="s">
        <v>234</v>
      </c>
      <c r="C20" s="126"/>
      <c r="D20" s="174" t="n">
        <v>0</v>
      </c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6" t="n">
        <v>0</v>
      </c>
      <c r="R20" s="143"/>
      <c r="S20" s="143"/>
      <c r="T20" s="143"/>
      <c r="U20" s="143"/>
      <c r="V20" s="143"/>
      <c r="W20" s="143"/>
      <c r="X20" s="143"/>
      <c r="Y20" s="143"/>
      <c r="Z20" s="143"/>
    </row>
    <row r="21" customFormat="false" ht="15.75" hidden="false" customHeight="true" outlineLevel="0" collapsed="false">
      <c r="A21" s="143"/>
      <c r="B21" s="52" t="s">
        <v>235</v>
      </c>
      <c r="C21" s="173"/>
      <c r="D21" s="166" t="n">
        <f aca="false">D19+D20</f>
        <v>180000</v>
      </c>
      <c r="E21" s="166" t="n">
        <f aca="false">D21+E19+E20</f>
        <v>174477.833333333</v>
      </c>
      <c r="F21" s="166" t="n">
        <f aca="false">E21+F19+F20</f>
        <v>168955.666666667</v>
      </c>
      <c r="G21" s="166" t="n">
        <f aca="false">F21+G19+G20</f>
        <v>163881.2</v>
      </c>
      <c r="H21" s="166" t="n">
        <f aca="false">G21+H19+H20</f>
        <v>179515.383333333</v>
      </c>
      <c r="I21" s="166" t="n">
        <f aca="false">H21+I19+I20</f>
        <v>175312.116666667</v>
      </c>
      <c r="J21" s="166" t="n">
        <f aca="false">I21+J19+J20</f>
        <v>169751.366666667</v>
      </c>
      <c r="K21" s="166" t="n">
        <f aca="false">J21+K19+K20</f>
        <v>165210.266666667</v>
      </c>
      <c r="L21" s="166" t="n">
        <f aca="false">K21+L19+L20</f>
        <v>162003.168333333</v>
      </c>
      <c r="M21" s="166" t="n">
        <f aca="false">L21+M19+M20</f>
        <v>159019.92</v>
      </c>
      <c r="N21" s="166" t="n">
        <f aca="false">M21+N19+N20</f>
        <v>154405.101666667</v>
      </c>
      <c r="O21" s="166" t="n">
        <f aca="false">N21+O19+O20</f>
        <v>151884.485</v>
      </c>
      <c r="P21" s="166" t="n">
        <f aca="false">O21+P19+P20</f>
        <v>150415.735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customFormat="false" ht="15.75" hidden="false" customHeight="true" outlineLevel="0" collapsed="false"/>
    <row r="23" customFormat="false" ht="15.75" hidden="false" customHeight="true" outlineLevel="0" collapsed="false">
      <c r="C23" s="177" t="s">
        <v>236</v>
      </c>
      <c r="D23" s="177"/>
      <c r="E23" s="177"/>
      <c r="F23" s="56" t="s">
        <v>10</v>
      </c>
    </row>
    <row r="24" customFormat="false" ht="17.25" hidden="false" customHeight="true" outlineLevel="0" collapsed="false">
      <c r="C24" s="178" t="s">
        <v>237</v>
      </c>
      <c r="D24" s="178"/>
      <c r="E24" s="178"/>
      <c r="F24" s="12" t="n">
        <f aca="false">D21</f>
        <v>180000</v>
      </c>
    </row>
    <row r="25" customFormat="false" ht="17.25" hidden="false" customHeight="true" outlineLevel="0" collapsed="false">
      <c r="C25" s="178" t="s">
        <v>238</v>
      </c>
      <c r="D25" s="178"/>
      <c r="E25" s="178"/>
      <c r="F25" s="12" t="n">
        <f aca="false">P21</f>
        <v>150415.735</v>
      </c>
    </row>
    <row r="26" customFormat="false" ht="15.75" hidden="false" customHeight="true" outlineLevel="0" collapsed="false">
      <c r="C26" s="178" t="s">
        <v>239</v>
      </c>
      <c r="D26" s="178"/>
      <c r="E26" s="178"/>
      <c r="F26" s="12" t="n">
        <f aca="false">F25-F24</f>
        <v>-29584.265</v>
      </c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C3:E3"/>
    <mergeCell ref="B6:C6"/>
    <mergeCell ref="B7:C7"/>
    <mergeCell ref="B8:C8"/>
    <mergeCell ref="B9:C9"/>
    <mergeCell ref="B11:C11"/>
    <mergeCell ref="B12:C12"/>
    <mergeCell ref="B13:C13"/>
    <mergeCell ref="B14:C14"/>
    <mergeCell ref="B15:C15"/>
    <mergeCell ref="B20:C20"/>
    <mergeCell ref="C23:E23"/>
    <mergeCell ref="C24:E24"/>
    <mergeCell ref="C25:E25"/>
    <mergeCell ref="C26:E26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Z1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7" activeCellId="0" sqref="N7"/>
    </sheetView>
  </sheetViews>
  <sheetFormatPr defaultColWidth="14.50390625" defaultRowHeight="15" zeroHeight="false" outlineLevelRow="0" outlineLevelCol="0"/>
  <cols>
    <col collapsed="false" customWidth="true" hidden="false" outlineLevel="0" max="1" min="1" style="4" width="10.67"/>
    <col collapsed="false" customWidth="true" hidden="false" outlineLevel="0" max="2" min="2" style="4" width="57.83"/>
    <col collapsed="false" customWidth="true" hidden="false" outlineLevel="0" max="14" min="3" style="4" width="11.83"/>
    <col collapsed="false" customWidth="true" hidden="false" outlineLevel="0" max="15" min="15" style="4" width="13.83"/>
    <col collapsed="false" customWidth="true" hidden="false" outlineLevel="0" max="26" min="16" style="4" width="10.67"/>
    <col collapsed="false" customWidth="false" hidden="false" outlineLevel="0" max="16384" min="27" style="4" width="14.5"/>
  </cols>
  <sheetData>
    <row r="3" customFormat="false" ht="49.5" hidden="false" customHeight="true" outlineLevel="0" collapsed="false">
      <c r="B3" s="25" t="s">
        <v>240</v>
      </c>
      <c r="C3" s="25"/>
      <c r="D3" s="3"/>
      <c r="E3" s="3"/>
    </row>
    <row r="5" customFormat="false" ht="16.5" hidden="false" customHeight="true" outlineLevel="0" collapsed="false">
      <c r="C5" s="25" t="s">
        <v>121</v>
      </c>
      <c r="D5" s="25" t="s">
        <v>122</v>
      </c>
      <c r="E5" s="25" t="s">
        <v>123</v>
      </c>
      <c r="F5" s="25" t="s">
        <v>134</v>
      </c>
      <c r="G5" s="25" t="s">
        <v>135</v>
      </c>
      <c r="H5" s="25" t="s">
        <v>136</v>
      </c>
      <c r="I5" s="25" t="s">
        <v>139</v>
      </c>
      <c r="J5" s="25" t="s">
        <v>140</v>
      </c>
      <c r="K5" s="52" t="s">
        <v>141</v>
      </c>
      <c r="L5" s="52" t="s">
        <v>143</v>
      </c>
      <c r="M5" s="52" t="s">
        <v>144</v>
      </c>
      <c r="N5" s="52" t="s">
        <v>145</v>
      </c>
      <c r="O5" s="52" t="s">
        <v>106</v>
      </c>
    </row>
    <row r="6" customFormat="false" ht="15.75" hidden="false" customHeight="true" outlineLevel="0" collapsed="false">
      <c r="B6" s="30" t="s">
        <v>241</v>
      </c>
      <c r="C6" s="12" t="n">
        <f aca="false">'Costes produción y ventas'!H23+'Costes produción y ventas'!H31+'Costes produción y ventas'!H39+'Costes produción y ventas'!H47+'Costes produción y ventas'!H55+'Flujo de Caja'!E7</f>
        <v>0</v>
      </c>
      <c r="D6" s="12" t="n">
        <f aca="false">'Costes produción y ventas'!I23+'Costes produción y ventas'!I31+'Costes produción y ventas'!I39+'Costes produción y ventas'!I47+'Costes produción y ventas'!I55+'Flujo de Caja'!F7</f>
        <v>0</v>
      </c>
      <c r="E6" s="12" t="n">
        <f aca="false">'Costes produción y ventas'!J23+'Costes produción y ventas'!J31+'Costes produción y ventas'!J39+'Costes produción y ventas'!J47+'Costes produción y ventas'!J55+'Flujo de Caja'!G7</f>
        <v>500</v>
      </c>
      <c r="F6" s="12" t="n">
        <f aca="false">'Costes produción y ventas'!K23+'Costes produción y ventas'!K31+'Costes produción y ventas'!K39+'Costes produción y ventas'!K47+'Costes produción y ventas'!K55+'Flujo de Caja'!H7</f>
        <v>1250</v>
      </c>
      <c r="G6" s="12" t="n">
        <f aca="false">'Costes produción y ventas'!L23+'Costes produción y ventas'!L31+'Costes produción y ventas'!L39+'Costes produción y ventas'!L47+'Costes produción y ventas'!L55+'Flujo de Caja'!I7</f>
        <v>1500</v>
      </c>
      <c r="H6" s="12" t="n">
        <f aca="false">'Costes produción y ventas'!M23+'Costes produción y ventas'!M31+'Costes produción y ventas'!M39+'Costes produción y ventas'!M47+'Costes produción y ventas'!M55+'Flujo de Caja'!J7</f>
        <v>3250</v>
      </c>
      <c r="I6" s="12" t="n">
        <f aca="false">'Costes produción y ventas'!N23+'Costes produción y ventas'!N31+'Costes produción y ventas'!N39+'Costes produción y ventas'!N47+'Costes produción y ventas'!N55+'Flujo de Caja'!K7</f>
        <v>4700</v>
      </c>
      <c r="J6" s="12" t="n">
        <f aca="false">'Costes produción y ventas'!O23+'Costes produción y ventas'!O31+'Costes produción y ventas'!O39+'Costes produción y ventas'!O47+'Costes produción y ventas'!O55+'Flujo de Caja'!L7</f>
        <v>6116.66666666667</v>
      </c>
      <c r="K6" s="12" t="n">
        <f aca="false">'Costes produción y ventas'!P23+'Costes produción y ventas'!P31+'Costes produción y ventas'!P39+'Costes produción y ventas'!P47+'Costes produción y ventas'!P55+'Flujo de Caja'!M7</f>
        <v>6366.66666666667</v>
      </c>
      <c r="L6" s="12" t="n">
        <f aca="false">'Costes produción y ventas'!Q23+'Costes produción y ventas'!Q31+'Costes produción y ventas'!Q39+'Costes produción y ventas'!Q47+'Costes produción y ventas'!Q55+'Flujo de Caja'!N7</f>
        <v>6616.66666666667</v>
      </c>
      <c r="M6" s="12" t="n">
        <f aca="false">'Costes produción y ventas'!R23+'Costes produción y ventas'!R31+'Costes produción y ventas'!R39+'Costes produción y ventas'!R47+'Costes produción y ventas'!R55+'Flujo de Caja'!O7</f>
        <v>4950</v>
      </c>
      <c r="N6" s="12" t="n">
        <f aca="false">'Costes produción y ventas'!S23+'Costes produción y ventas'!S31+'Costes produción y ventas'!S39+'Costes produción y ventas'!S47+'Costes produción y ventas'!S55+'Flujo de Caja'!P7</f>
        <v>4250</v>
      </c>
      <c r="O6" s="12" t="n">
        <f aca="false">SUM(C6:N6)</f>
        <v>39500</v>
      </c>
    </row>
    <row r="7" customFormat="false" ht="15" hidden="false" customHeight="true" outlineLevel="0" collapsed="false">
      <c r="B7" s="30" t="s">
        <v>242</v>
      </c>
      <c r="C7" s="12" t="n">
        <f aca="false">'Costes produción y ventas'!H24+'Costes produción y ventas'!H32+'Costes produción y ventas'!H40+'Costes produción y ventas'!H48+'Costes produción y ventas'!H56</f>
        <v>0</v>
      </c>
      <c r="D7" s="12" t="n">
        <f aca="false">'Costes produción y ventas'!I24+'Costes produción y ventas'!I32+'Costes produción y ventas'!I40+'Costes produción y ventas'!I48+'Costes produción y ventas'!I56</f>
        <v>0</v>
      </c>
      <c r="E7" s="12" t="n">
        <f aca="false">'Costes produción y ventas'!J24+'Costes produción y ventas'!J32+'Costes produción y ventas'!J40+'Costes produción y ventas'!J48+'Costes produción y ventas'!J56</f>
        <v>130</v>
      </c>
      <c r="F7" s="12" t="n">
        <f aca="false">'Costes produción y ventas'!K24+'Costes produción y ventas'!K32+'Costes produción y ventas'!K40+'Costes produción y ventas'!K48+'Costes produción y ventas'!K56</f>
        <v>345</v>
      </c>
      <c r="G7" s="12" t="n">
        <f aca="false">'Costes produción y ventas'!L24+'Costes produción y ventas'!L32+'Costes produción y ventas'!L40+'Costes produción y ventas'!L48+'Costes produción y ventas'!L56</f>
        <v>410</v>
      </c>
      <c r="H7" s="12" t="n">
        <f aca="false">'Costes produción y ventas'!M24+'Costes produción y ventas'!M32+'Costes produción y ventas'!M40+'Costes produción y ventas'!M48+'Costes produción y ventas'!M56</f>
        <v>775</v>
      </c>
      <c r="I7" s="12" t="n">
        <f aca="false">'Costes produción y ventas'!N24+'Costes produción y ventas'!N32+'Costes produción y ventas'!N40+'Costes produción y ventas'!N48+'Costes produción y ventas'!N56</f>
        <v>1240</v>
      </c>
      <c r="J7" s="12" t="n">
        <f aca="false">'Costes produción y ventas'!O24+'Costes produción y ventas'!O32+'Costes produción y ventas'!O40+'Costes produción y ventas'!O48+'Costes produción y ventas'!O56</f>
        <v>1696.5</v>
      </c>
      <c r="K7" s="12" t="n">
        <f aca="false">'Costes produción y ventas'!P24+'Costes produción y ventas'!P32+'Costes produción y ventas'!P40+'Costes produción y ventas'!P48+'Costes produción y ventas'!P56</f>
        <v>1761.5</v>
      </c>
      <c r="L7" s="12" t="n">
        <f aca="false">'Costes produción y ventas'!Q24+'Costes produción y ventas'!Q32+'Costes produción y ventas'!Q40+'Costes produción y ventas'!Q48+'Costes produción y ventas'!Q56</f>
        <v>1826.5</v>
      </c>
      <c r="M7" s="12" t="n">
        <f aca="false">'Costes produción y ventas'!R24+'Costes produción y ventas'!R32+'Costes produción y ventas'!R40+'Costes produción y ventas'!R48+'Costes produción y ventas'!R56</f>
        <v>1395</v>
      </c>
      <c r="N7" s="12" t="n">
        <f aca="false">'Costes produción y ventas'!S24+'Costes produción y ventas'!S32+'Costes produción y ventas'!S40+'Costes produción y ventas'!S48+'Costes produción y ventas'!S56</f>
        <v>1125</v>
      </c>
      <c r="O7" s="12" t="n">
        <v>10696</v>
      </c>
    </row>
    <row r="8" customFormat="false" ht="15.75" hidden="false" customHeight="true" outlineLevel="0" collapsed="false">
      <c r="B8" s="52" t="s">
        <v>112</v>
      </c>
      <c r="C8" s="166" t="n">
        <f aca="false">C6-C7</f>
        <v>0</v>
      </c>
      <c r="D8" s="166" t="n">
        <f aca="false">D6-D7</f>
        <v>0</v>
      </c>
      <c r="E8" s="166" t="n">
        <f aca="false">E6-E7</f>
        <v>370</v>
      </c>
      <c r="F8" s="166" t="n">
        <f aca="false">F6-F7</f>
        <v>905</v>
      </c>
      <c r="G8" s="166" t="n">
        <f aca="false">G6-G7</f>
        <v>1090</v>
      </c>
      <c r="H8" s="166" t="n">
        <f aca="false">H6-H7</f>
        <v>2475</v>
      </c>
      <c r="I8" s="166" t="n">
        <f aca="false">I6-I7</f>
        <v>3460</v>
      </c>
      <c r="J8" s="166" t="n">
        <f aca="false">J6-J7</f>
        <v>4420.16666666667</v>
      </c>
      <c r="K8" s="166" t="n">
        <f aca="false">K6-K7</f>
        <v>4605.16666666667</v>
      </c>
      <c r="L8" s="166" t="n">
        <f aca="false">L6-L7</f>
        <v>4790.16666666667</v>
      </c>
      <c r="M8" s="166" t="n">
        <f aca="false">M6-M7</f>
        <v>3555</v>
      </c>
      <c r="N8" s="166" t="n">
        <f aca="false">N6-N7</f>
        <v>3125</v>
      </c>
      <c r="O8" s="166" t="n">
        <f aca="false">O6-O7</f>
        <v>28804</v>
      </c>
    </row>
    <row r="9" customFormat="false" ht="15" hidden="false" customHeight="true" outlineLevel="0" collapsed="false">
      <c r="B9" s="30" t="s">
        <v>243</v>
      </c>
      <c r="C9" s="12" t="n">
        <f aca="false">'Gastos de Personal'!C32</f>
        <v>2900</v>
      </c>
      <c r="D9" s="12" t="n">
        <f aca="false">'Gastos de Personal'!D32</f>
        <v>2900</v>
      </c>
      <c r="E9" s="12" t="n">
        <f aca="false">'Gastos de Personal'!E32</f>
        <v>2900</v>
      </c>
      <c r="F9" s="12" t="n">
        <f aca="false">'Gastos de Personal'!F32</f>
        <v>2900</v>
      </c>
      <c r="G9" s="12" t="n">
        <f aca="false">'Gastos de Personal'!G32</f>
        <v>2900</v>
      </c>
      <c r="H9" s="12" t="n">
        <f aca="false">'Gastos de Personal'!H32</f>
        <v>5933.33333333333</v>
      </c>
      <c r="I9" s="12" t="n">
        <f aca="false">'Gastos de Personal'!I32</f>
        <v>5933.33333333333</v>
      </c>
      <c r="J9" s="12" t="n">
        <f aca="false">'Gastos de Personal'!J32</f>
        <v>5933.33333333333</v>
      </c>
      <c r="K9" s="12" t="n">
        <f aca="false">'Gastos de Personal'!K32</f>
        <v>5933.33333333333</v>
      </c>
      <c r="L9" s="12" t="n">
        <f aca="false">'Gastos de Personal'!L32</f>
        <v>5933.33333333333</v>
      </c>
      <c r="M9" s="12" t="n">
        <f aca="false">'Gastos de Personal'!M32</f>
        <v>4200</v>
      </c>
      <c r="N9" s="12" t="n">
        <f aca="false">'Gastos de Personal'!N32</f>
        <v>4200</v>
      </c>
      <c r="O9" s="12" t="n">
        <f aca="false">SUM(C9:N9)</f>
        <v>52566.6666666666</v>
      </c>
    </row>
    <row r="10" customFormat="false" ht="15" hidden="false" customHeight="true" outlineLevel="0" collapsed="false">
      <c r="B10" s="126" t="s">
        <v>244</v>
      </c>
      <c r="C10" s="12" t="n">
        <f aca="false">'Gasto Fijos y Variables'!D23</f>
        <v>1083.33333333333</v>
      </c>
      <c r="D10" s="12" t="n">
        <f aca="false">'Gasto Fijos y Variables'!H23</f>
        <v>1083.33333333333</v>
      </c>
      <c r="E10" s="12" t="n">
        <f aca="false">'Gasto Fijos y Variables'!L23</f>
        <v>1083.33333333333</v>
      </c>
      <c r="F10" s="12" t="n">
        <f aca="false">'Gasto Fijos y Variables'!P23</f>
        <v>1083.33333333333</v>
      </c>
      <c r="G10" s="12" t="n">
        <f aca="false">'Gasto Fijos y Variables'!T23</f>
        <v>1083.33333333333</v>
      </c>
      <c r="H10" s="12" t="n">
        <f aca="false">'Gasto Fijos y Variables'!X23</f>
        <v>1083.33333333333</v>
      </c>
      <c r="I10" s="12" t="n">
        <f aca="false">'Gasto Fijos y Variables'!AB23</f>
        <v>1083.33333333333</v>
      </c>
      <c r="J10" s="12" t="n">
        <f aca="false">'Gasto Fijos y Variables'!AF23</f>
        <v>1083.33333333333</v>
      </c>
      <c r="K10" s="12" t="n">
        <f aca="false">'Gasto Fijos y Variables'!AJ23</f>
        <v>1083.33333333333</v>
      </c>
      <c r="L10" s="12" t="n">
        <f aca="false">'Gasto Fijos y Variables'!AN23</f>
        <v>1083.33333333333</v>
      </c>
      <c r="M10" s="12" t="n">
        <f aca="false">'Gasto Fijos y Variables'!AR23</f>
        <v>1083.33333333333</v>
      </c>
      <c r="N10" s="12" t="n">
        <f aca="false">'Gasto Fijos y Variables'!AV23</f>
        <v>0</v>
      </c>
      <c r="O10" s="12" t="n">
        <f aca="false">SUM(C10:N10)</f>
        <v>11916.6666666667</v>
      </c>
    </row>
    <row r="11" customFormat="false" ht="15" hidden="false" customHeight="true" outlineLevel="0" collapsed="false">
      <c r="B11" s="126" t="s">
        <v>245</v>
      </c>
      <c r="C11" s="12" t="n">
        <f aca="false">'Gasto Fijos y Variables'!D43</f>
        <v>233.333333333333</v>
      </c>
      <c r="D11" s="12" t="n">
        <f aca="false">'Gasto Fijos y Variables'!H43</f>
        <v>233.333333333333</v>
      </c>
      <c r="E11" s="12" t="n">
        <f aca="false">'Gasto Fijos y Variables'!L43</f>
        <v>233.333333333333</v>
      </c>
      <c r="F11" s="12" t="n">
        <f aca="false">'Gasto Fijos y Variables'!P43</f>
        <v>233.333333333333</v>
      </c>
      <c r="G11" s="12" t="n">
        <f aca="false">'Gasto Fijos y Variables'!T43</f>
        <v>233.333333333333</v>
      </c>
      <c r="H11" s="12" t="n">
        <f aca="false">'Gasto Fijos y Variables'!X43</f>
        <v>233.333333333333</v>
      </c>
      <c r="I11" s="12" t="n">
        <f aca="false">'Gasto Fijos y Variables'!AB43</f>
        <v>233.333333333333</v>
      </c>
      <c r="J11" s="12" t="n">
        <f aca="false">'Gasto Fijos y Variables'!AF43</f>
        <v>233.333333333333</v>
      </c>
      <c r="K11" s="12" t="n">
        <f aca="false">'Gasto Fijos y Variables'!AJ43</f>
        <v>233.333333333333</v>
      </c>
      <c r="L11" s="12" t="n">
        <f aca="false">'Gasto Fijos y Variables'!AN43</f>
        <v>233.333333333333</v>
      </c>
      <c r="M11" s="12" t="n">
        <f aca="false">'Gasto Fijos y Variables'!AR43</f>
        <v>233.333333333333</v>
      </c>
      <c r="N11" s="12" t="n">
        <f aca="false">'Gasto Fijos y Variables'!AV43</f>
        <v>0</v>
      </c>
      <c r="O11" s="12" t="n">
        <f aca="false">SUM(C11:N11)</f>
        <v>2566.66666666666</v>
      </c>
    </row>
    <row r="12" customFormat="false" ht="15" hidden="false" customHeight="true" outlineLevel="0" collapsed="false">
      <c r="B12" s="30" t="s">
        <v>246</v>
      </c>
      <c r="C12" s="12" t="n">
        <f aca="false">('Amortización Contable'!F12+'Amortización Contable'!F24)/12</f>
        <v>978.839333333333</v>
      </c>
      <c r="D12" s="12" t="n">
        <f aca="false">('Amortización Contable'!F12+'Amortización Contable'!F24)/12</f>
        <v>978.839333333333</v>
      </c>
      <c r="E12" s="12" t="n">
        <f aca="false">('Amortización Contable'!F12+'Amortización Contable'!F24)/12</f>
        <v>978.839333333333</v>
      </c>
      <c r="F12" s="12" t="n">
        <f aca="false">('Amortización Contable'!F12+'Amortización Contable'!F24)/12</f>
        <v>978.839333333333</v>
      </c>
      <c r="G12" s="12" t="n">
        <f aca="false">('Amortización Contable'!F12+'Amortización Contable'!F24)/12</f>
        <v>978.839333333333</v>
      </c>
      <c r="H12" s="12" t="n">
        <f aca="false">('Amortización Contable'!F12+'Amortización Contable'!F24)/12</f>
        <v>978.839333333333</v>
      </c>
      <c r="I12" s="12" t="n">
        <f aca="false">('Amortización Contable'!F12+'Amortización Contable'!F24)/12</f>
        <v>978.839333333333</v>
      </c>
      <c r="J12" s="12" t="n">
        <f aca="false">('Amortización Contable'!F12+'Amortización Contable'!F24)/12</f>
        <v>978.839333333333</v>
      </c>
      <c r="K12" s="12" t="n">
        <f aca="false">('Amortización Contable'!F12+'Amortización Contable'!F24)/12</f>
        <v>978.839333333333</v>
      </c>
      <c r="L12" s="12" t="n">
        <f aca="false">('Amortización Contable'!F12+'Amortización Contable'!F24)/12</f>
        <v>978.839333333333</v>
      </c>
      <c r="M12" s="12" t="n">
        <f aca="false">('Amortización Contable'!F12+'Amortización Contable'!F24)/12</f>
        <v>978.839333333333</v>
      </c>
      <c r="N12" s="12" t="n">
        <f aca="false">('Amortización Contable'!F12+'Amortización Contable'!F24)/12</f>
        <v>978.839333333333</v>
      </c>
      <c r="O12" s="12" t="n">
        <f aca="false">SUM(C12:N12)</f>
        <v>11746.072</v>
      </c>
    </row>
    <row r="13" customFormat="false" ht="15.75" hidden="false" customHeight="true" outlineLevel="0" collapsed="false">
      <c r="A13" s="179"/>
      <c r="B13" s="52" t="s">
        <v>247</v>
      </c>
      <c r="C13" s="166" t="n">
        <f aca="false">SUM(C9:C12)</f>
        <v>5195.506</v>
      </c>
      <c r="D13" s="166" t="n">
        <f aca="false">SUM(D9:D12)</f>
        <v>5195.506</v>
      </c>
      <c r="E13" s="166" t="n">
        <f aca="false">SUM(E9:E12)</f>
        <v>5195.506</v>
      </c>
      <c r="F13" s="166" t="n">
        <f aca="false">SUM(F9:F12)</f>
        <v>5195.506</v>
      </c>
      <c r="G13" s="166" t="n">
        <f aca="false">SUM(G9:G12)</f>
        <v>5195.506</v>
      </c>
      <c r="H13" s="166" t="n">
        <f aca="false">SUM(H9:H12)</f>
        <v>8228.83933333333</v>
      </c>
      <c r="I13" s="166" t="n">
        <f aca="false">SUM(I9:I12)</f>
        <v>8228.83933333333</v>
      </c>
      <c r="J13" s="166" t="n">
        <f aca="false">SUM(J9:J12)</f>
        <v>8228.83933333333</v>
      </c>
      <c r="K13" s="166" t="n">
        <f aca="false">SUM(K9:K12)</f>
        <v>8228.83933333333</v>
      </c>
      <c r="L13" s="166" t="n">
        <f aca="false">SUM(L9:L12)</f>
        <v>8228.83933333333</v>
      </c>
      <c r="M13" s="166" t="n">
        <f aca="false">SUM(M9:M12)</f>
        <v>6495.506</v>
      </c>
      <c r="N13" s="166" t="n">
        <f aca="false">SUM(N9:N12)</f>
        <v>5178.83933333333</v>
      </c>
      <c r="O13" s="166" t="n">
        <f aca="false">SUM(O9:O12)</f>
        <v>78796.072</v>
      </c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customFormat="false" ht="15" hidden="false" customHeight="true" outlineLevel="0" collapsed="false">
      <c r="B14" s="30" t="s">
        <v>248</v>
      </c>
      <c r="C14" s="12" t="n">
        <f aca="false">(C8-C13)</f>
        <v>-5195.506</v>
      </c>
      <c r="D14" s="12" t="n">
        <f aca="false">(D8-D13)</f>
        <v>-5195.506</v>
      </c>
      <c r="E14" s="12" t="n">
        <f aca="false">(E8-E13)</f>
        <v>-4825.506</v>
      </c>
      <c r="F14" s="12" t="n">
        <f aca="false">(F8-F13)</f>
        <v>-4290.506</v>
      </c>
      <c r="G14" s="12" t="n">
        <f aca="false">(G8-G13)</f>
        <v>-4105.506</v>
      </c>
      <c r="H14" s="12" t="n">
        <f aca="false">(H8-H13)</f>
        <v>-5753.83933333333</v>
      </c>
      <c r="I14" s="12" t="n">
        <f aca="false">(I8-I13)</f>
        <v>-4768.83933333333</v>
      </c>
      <c r="J14" s="12" t="n">
        <f aca="false">(J8-J13)</f>
        <v>-3808.67266666666</v>
      </c>
      <c r="K14" s="12" t="n">
        <f aca="false">(K8-K13)</f>
        <v>-3623.67266666666</v>
      </c>
      <c r="L14" s="12" t="n">
        <f aca="false">(L8-L13)</f>
        <v>-3438.67266666666</v>
      </c>
      <c r="M14" s="12" t="n">
        <f aca="false">(M8-M13)</f>
        <v>-2940.506</v>
      </c>
      <c r="N14" s="12" t="n">
        <f aca="false">(N8-N13)</f>
        <v>-2053.83933333333</v>
      </c>
      <c r="O14" s="12" t="n">
        <f aca="false">O8-O13</f>
        <v>-49992.072</v>
      </c>
    </row>
    <row r="15" customFormat="false" ht="15" hidden="false" customHeight="true" outlineLevel="0" collapsed="false">
      <c r="B15" s="30" t="s">
        <v>249</v>
      </c>
      <c r="C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D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E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F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G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H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I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J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K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L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M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N15" s="70" t="n">
        <f aca="false">('Necesidades de finaciación'!$F$16*'Necesidades de finaciación'!$H$16+'Necesidades de finaciación'!$F$17*'Necesidades de finaciación'!$H$17+'Necesidades de finaciación'!$F$18*'Necesidades de finaciación'!$H$18+'Necesidades de finaciación'!$F$24*'Necesidades de finaciación'!$H$24)/12</f>
        <v>1050</v>
      </c>
      <c r="O15" s="12" t="n">
        <f aca="false">SUM(C15:N15)</f>
        <v>12600</v>
      </c>
    </row>
    <row r="16" customFormat="false" ht="15" hidden="false" customHeight="true" outlineLevel="0" collapsed="false">
      <c r="B16" s="30" t="s">
        <v>250</v>
      </c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1"/>
      <c r="O16" s="12" t="n">
        <f aca="false">SUM(C16:N16)</f>
        <v>0</v>
      </c>
    </row>
    <row r="17" customFormat="false" ht="15.75" hidden="false" customHeight="true" outlineLevel="0" collapsed="false">
      <c r="B17" s="30" t="s">
        <v>251</v>
      </c>
      <c r="C17" s="12" t="n">
        <f aca="false">(C14-C15-C16)</f>
        <v>-6245.506</v>
      </c>
      <c r="D17" s="12" t="n">
        <f aca="false">(D14-D15-D16)</f>
        <v>-6245.506</v>
      </c>
      <c r="E17" s="12" t="n">
        <f aca="false">(E14-E15-E16)</f>
        <v>-5875.506</v>
      </c>
      <c r="F17" s="12" t="n">
        <f aca="false">(F14-F15-F16)</f>
        <v>-5340.506</v>
      </c>
      <c r="G17" s="12" t="n">
        <f aca="false">(G14-G15-G16)</f>
        <v>-5155.506</v>
      </c>
      <c r="H17" s="12" t="n">
        <f aca="false">(H14-H15-H16)</f>
        <v>-6803.83933333333</v>
      </c>
      <c r="I17" s="12" t="n">
        <f aca="false">(I14-I15-I16)</f>
        <v>-5818.83933333333</v>
      </c>
      <c r="J17" s="12" t="n">
        <f aca="false">(J14-J15-J16)</f>
        <v>-4858.67266666666</v>
      </c>
      <c r="K17" s="12" t="n">
        <f aca="false">(K14-K15-K16)</f>
        <v>-4673.67266666666</v>
      </c>
      <c r="L17" s="12" t="n">
        <f aca="false">(L14-L15-L16)</f>
        <v>-4488.67266666666</v>
      </c>
      <c r="M17" s="12" t="n">
        <f aca="false">(M14-M15-M16)</f>
        <v>-3990.506</v>
      </c>
      <c r="N17" s="12" t="n">
        <f aca="false">(N14-N15-N16)</f>
        <v>-3103.83933333333</v>
      </c>
      <c r="O17" s="12" t="n">
        <f aca="false">O14-O15-O16</f>
        <v>-62592.072</v>
      </c>
    </row>
    <row r="18" customFormat="false" ht="15.75" hidden="false" customHeight="true" outlineLevel="0" collapsed="false">
      <c r="B18" s="30" t="s">
        <v>252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3"/>
      <c r="O18" s="184" t="n">
        <f aca="false">SUM(C18:N18)</f>
        <v>0</v>
      </c>
    </row>
    <row r="19" customFormat="false" ht="16.5" hidden="false" customHeight="true" outlineLevel="0" collapsed="false">
      <c r="A19" s="179"/>
      <c r="B19" s="56" t="s">
        <v>253</v>
      </c>
      <c r="C19" s="21" t="n">
        <f aca="false">(C17-C18)</f>
        <v>-6245.506</v>
      </c>
      <c r="D19" s="21" t="n">
        <f aca="false">(D17-D18)</f>
        <v>-6245.506</v>
      </c>
      <c r="E19" s="21" t="n">
        <f aca="false">(E17-E18)</f>
        <v>-5875.506</v>
      </c>
      <c r="F19" s="21" t="n">
        <f aca="false">(F17-F18)</f>
        <v>-5340.506</v>
      </c>
      <c r="G19" s="21" t="n">
        <f aca="false">(G17-G18)</f>
        <v>-5155.506</v>
      </c>
      <c r="H19" s="21" t="n">
        <f aca="false">(H17-H18)</f>
        <v>-6803.83933333333</v>
      </c>
      <c r="I19" s="21" t="n">
        <f aca="false">(I17-I18)</f>
        <v>-5818.83933333333</v>
      </c>
      <c r="J19" s="21" t="n">
        <f aca="false">(J17-J18)</f>
        <v>-4858.67266666666</v>
      </c>
      <c r="K19" s="21" t="n">
        <f aca="false">(K17-K18)</f>
        <v>-4673.67266666666</v>
      </c>
      <c r="L19" s="21" t="n">
        <f aca="false">(L17-L18)</f>
        <v>-4488.67266666666</v>
      </c>
      <c r="M19" s="21" t="n">
        <f aca="false">(M17-M18)</f>
        <v>-3990.506</v>
      </c>
      <c r="N19" s="21" t="n">
        <f aca="false">(N17-N18)</f>
        <v>-3103.83933333333</v>
      </c>
      <c r="O19" s="21" t="n">
        <v>-82362.67</v>
      </c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1" customFormat="false" ht="15" hidden="false" customHeight="true" outlineLevel="0" collapsed="false">
      <c r="B21" s="49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sheetProtection algorithmName="SHA-512" hashValue="v/PiDrDD4Oqxkf6j491ghzVGRDWIjOu6ZTdoNFMxk/YcuZDududX1uGcXBhImwTcXyAoQrrNFThgyKZUhBA19g==" saltValue="mApQUEeflFM+xXdPAuVdDg==" spinCount="100000" sheet="true" objects="true" scenarios="true"/>
  <mergeCells count="1">
    <mergeCell ref="B3:C3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1000"/>
  <sheetViews>
    <sheetView showFormulas="false" showGridLines="fals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F21" activeCellId="0" sqref="F21"/>
    </sheetView>
  </sheetViews>
  <sheetFormatPr defaultColWidth="14.50390625" defaultRowHeight="15" zeroHeight="false" outlineLevelRow="0" outlineLevelCol="0"/>
  <cols>
    <col collapsed="false" customWidth="true" hidden="false" outlineLevel="0" max="1" min="1" style="4" width="10.67"/>
    <col collapsed="false" customWidth="true" hidden="false" outlineLevel="0" max="2" min="2" style="4" width="57.33"/>
    <col collapsed="false" customWidth="true" hidden="false" outlineLevel="0" max="3" min="3" style="4" width="18.83"/>
    <col collapsed="false" customWidth="true" hidden="false" outlineLevel="0" max="4" min="4" style="4" width="6.5"/>
    <col collapsed="false" customWidth="true" hidden="false" outlineLevel="0" max="5" min="5" style="4" width="61.17"/>
    <col collapsed="false" customWidth="true" hidden="false" outlineLevel="0" max="6" min="6" style="4" width="18.83"/>
    <col collapsed="false" customWidth="true" hidden="false" outlineLevel="0" max="26" min="7" style="4" width="10.67"/>
    <col collapsed="false" customWidth="false" hidden="false" outlineLevel="0" max="16384" min="27" style="4" width="14.5"/>
  </cols>
  <sheetData>
    <row r="2" customFormat="false" ht="49.5" hidden="false" customHeight="true" outlineLevel="0" collapsed="false">
      <c r="B2" s="25" t="s">
        <v>254</v>
      </c>
      <c r="C2" s="25"/>
    </row>
    <row r="4" customFormat="false" ht="16.5" hidden="false" customHeight="true" outlineLevel="0" collapsed="false">
      <c r="B4" s="25" t="s">
        <v>255</v>
      </c>
      <c r="C4" s="66" t="n">
        <f aca="false">C5+C28</f>
        <v>247266.328</v>
      </c>
      <c r="E4" s="25" t="s">
        <v>256</v>
      </c>
      <c r="F4" s="185" t="n">
        <f aca="false">F5+F9+F14</f>
        <v>247266.328</v>
      </c>
    </row>
    <row r="5" customFormat="false" ht="16.5" hidden="false" customHeight="true" outlineLevel="0" collapsed="false">
      <c r="B5" s="25" t="s">
        <v>257</v>
      </c>
      <c r="C5" s="66" t="n">
        <f aca="false">C6+C19</f>
        <v>80714.648</v>
      </c>
      <c r="E5" s="25" t="s">
        <v>258</v>
      </c>
      <c r="F5" s="185" t="n">
        <f aca="false">F6+F7+F8</f>
        <v>49232.648</v>
      </c>
    </row>
    <row r="6" customFormat="false" ht="18" hidden="false" customHeight="true" outlineLevel="0" collapsed="false">
      <c r="B6" s="52" t="s">
        <v>259</v>
      </c>
      <c r="C6" s="166" t="n">
        <f aca="false">SUM(C7:C18)</f>
        <v>9000</v>
      </c>
      <c r="E6" s="30" t="s">
        <v>260</v>
      </c>
      <c r="F6" s="186" t="n">
        <f aca="false">'Inversión Inicial'!H6+'Inversión Inicial'!H7+'Inversión Inicial'!H8+'Inversión Inicial'!H9+'Inversión Inicial'!H10+'Inversión Inicial'!H11+'Inversión Inicial'!H12+'Inversión Inicial'!H13+'Inversión Inicial'!H14+'Inversión Inicial'!H15+'Inversión Inicial'!H16+'Inversión Inicial'!H19+'Inversión Inicial'!H20+'Inversión Inicial'!H21+'Inversión Inicial'!H22+'Inversión Inicial'!H23+'Inversión Inicial'!H24+'Inversión Inicial'!H25+'Inversión Inicial'!H28+'Necesidades de finaciación'!F9</f>
        <v>0</v>
      </c>
    </row>
    <row r="7" customFormat="false" ht="18" hidden="false" customHeight="true" outlineLevel="0" collapsed="false">
      <c r="B7" s="30" t="s">
        <v>11</v>
      </c>
      <c r="C7" s="70" t="n">
        <f aca="false">'Inversión Inicial'!C6+'Inversión Inicial'!E6+'Inversión Inicial'!H6</f>
        <v>0</v>
      </c>
      <c r="E7" s="30" t="s">
        <v>261</v>
      </c>
      <c r="F7" s="186" t="n">
        <f aca="false">'Cuenta de Resultados Mensual'!O19</f>
        <v>-82362.67</v>
      </c>
    </row>
    <row r="8" customFormat="false" ht="18" hidden="false" customHeight="true" outlineLevel="0" collapsed="false">
      <c r="B8" s="30" t="s">
        <v>13</v>
      </c>
      <c r="C8" s="70" t="n">
        <f aca="false">'Amortización Contable'!C15</f>
        <v>0</v>
      </c>
      <c r="E8" s="30" t="s">
        <v>262</v>
      </c>
      <c r="F8" s="186" t="n">
        <f aca="false">C37-F6-F7-F9-F14</f>
        <v>131595.318</v>
      </c>
      <c r="H8" s="187"/>
    </row>
    <row r="9" customFormat="false" ht="18" hidden="false" customHeight="true" outlineLevel="0" collapsed="false">
      <c r="B9" s="30" t="s">
        <v>15</v>
      </c>
      <c r="C9" s="70" t="n">
        <f aca="false">'Amortización Contable'!C16</f>
        <v>0</v>
      </c>
      <c r="E9" s="52" t="s">
        <v>263</v>
      </c>
      <c r="F9" s="188" t="n">
        <f aca="false">F10+F11+F12+F13</f>
        <v>168033.68</v>
      </c>
    </row>
    <row r="10" customFormat="false" ht="18" hidden="false" customHeight="true" outlineLevel="0" collapsed="false">
      <c r="B10" s="30" t="s">
        <v>17</v>
      </c>
      <c r="C10" s="70" t="n">
        <f aca="false">'Amortización Contable'!C17</f>
        <v>0</v>
      </c>
      <c r="E10" s="30" t="s">
        <v>264</v>
      </c>
      <c r="F10" s="12" t="n">
        <f aca="false">('Necesidades de finaciación'!F17-SUM('Flujo de Caja'!E14:P14)*IF('Necesidades de finaciación'!F17+'Necesidades de finaciación'!F18=0,0,'Necesidades de finaciación'!F17/('Necesidades de finaciación'!F17+'Necesidades de finaciación'!F18)))-MIN(('Necesidades de finaciación'!F17-SUM('Flujo de Caja'!E15:P15)*IF('Necesidades de finaciación'!F17+'Necesidades de finaciación'!F18=0,0,'Necesidades de finaciación'!F17/('Necesidades de finaciación'!F17+'Necesidades de finaciación'!F18))),IF('Necesidades de finaciación'!G17=0,0,'Necesidades de finaciación'!F17/('Necesidades de finaciación'!G17-1)))</f>
        <v>168033.68</v>
      </c>
    </row>
    <row r="11" customFormat="false" ht="18" hidden="false" customHeight="true" outlineLevel="0" collapsed="false">
      <c r="B11" s="30" t="s">
        <v>18</v>
      </c>
      <c r="C11" s="70" t="n">
        <f aca="false">'Amortización Contable'!C18</f>
        <v>0</v>
      </c>
      <c r="E11" s="30" t="s">
        <v>265</v>
      </c>
      <c r="F11" s="12" t="n">
        <f aca="false">('Necesidades de finaciación'!F18-SUM('Flujo de Caja'!E15:P15)*(1-IF('Necesidades de finaciación'!F17+'Necesidades de finaciación'!F18=0,0,'Necesidades de finaciación'!F17/('Necesidades de finaciación'!F17+'Necesidades de finaciación'!F18))))-MIN(('Necesidades de finaciación'!F18-SUM('Flujo de Caja'!E15:P15)*(1-IF('Necesidades de finaciación'!F17+'Necesidades de finaciación'!F18=0,0,'Necesidades de finaciación'!F17/('Necesidades de finaciación'!F17+'Necesidades de finaciación'!F18)))),IF('Necesidades de finaciación'!G18=0,0,'Necesidades de finaciación'!F18/'Necesidades de finaciación'!G18))</f>
        <v>0</v>
      </c>
    </row>
    <row r="12" customFormat="false" ht="18" hidden="false" customHeight="true" outlineLevel="0" collapsed="false">
      <c r="B12" s="30" t="s">
        <v>20</v>
      </c>
      <c r="C12" s="70" t="n">
        <f aca="false">'Amortización Contable'!C19</f>
        <v>0</v>
      </c>
      <c r="E12" s="30" t="s">
        <v>83</v>
      </c>
      <c r="F12" s="12" t="n">
        <f aca="false">'Necesidades de finaciación'!F16</f>
        <v>0</v>
      </c>
    </row>
    <row r="13" customFormat="false" ht="16.5" hidden="false" customHeight="true" outlineLevel="0" collapsed="false">
      <c r="B13" s="30" t="s">
        <v>22</v>
      </c>
      <c r="C13" s="70" t="n">
        <f aca="false">'Amortización Contable'!C20</f>
        <v>0</v>
      </c>
      <c r="E13" s="30" t="s">
        <v>266</v>
      </c>
      <c r="F13" s="12" t="n">
        <v>0</v>
      </c>
    </row>
    <row r="14" customFormat="false" ht="18" hidden="false" customHeight="true" outlineLevel="0" collapsed="false">
      <c r="B14" s="30" t="s">
        <v>24</v>
      </c>
      <c r="C14" s="70" t="n">
        <f aca="false">'Amortización Contable'!C21</f>
        <v>0</v>
      </c>
      <c r="E14" s="52" t="s">
        <v>267</v>
      </c>
      <c r="F14" s="166" t="n">
        <f aca="false">F15+F16+F17+F18+F19+F20+F21+F22+F23</f>
        <v>30000</v>
      </c>
    </row>
    <row r="15" customFormat="false" ht="18" hidden="false" customHeight="true" outlineLevel="0" collapsed="false">
      <c r="B15" s="30" t="s">
        <v>26</v>
      </c>
      <c r="C15" s="70" t="n">
        <f aca="false">'Amortización Contable'!C22</f>
        <v>0</v>
      </c>
      <c r="E15" s="30" t="s">
        <v>268</v>
      </c>
      <c r="F15" s="12" t="n">
        <f aca="false">'Flujo de Caja'!Q20</f>
        <v>0</v>
      </c>
    </row>
    <row r="16" customFormat="false" ht="18" hidden="false" customHeight="true" outlineLevel="0" collapsed="false">
      <c r="B16" s="30" t="s">
        <v>61</v>
      </c>
      <c r="C16" s="70" t="n">
        <f aca="false">'Amortización Contable'!C23</f>
        <v>10000</v>
      </c>
      <c r="E16" s="30" t="s">
        <v>269</v>
      </c>
      <c r="F16" s="12" t="n">
        <f aca="false">'Necesidades de finaciación'!F24</f>
        <v>0</v>
      </c>
    </row>
    <row r="17" customFormat="false" ht="18" hidden="false" customHeight="true" outlineLevel="0" collapsed="false">
      <c r="B17" s="30" t="s">
        <v>29</v>
      </c>
      <c r="C17" s="70" t="n">
        <f aca="false">'Inversión Inicial'!C16+'Inversión Inicial'!E16+'Inversión Inicial'!H16</f>
        <v>0</v>
      </c>
      <c r="E17" s="30" t="s">
        <v>270</v>
      </c>
      <c r="F17" s="12" t="n">
        <f aca="false">MIN(('Necesidades de finaciación'!F17-SUM('Flujo de Caja'!E15:P15)*IF('Necesidades de finaciación'!F17+'Necesidades de finaciación'!F18=0,0,'Necesidades de finaciación'!F17/('Necesidades de finaciación'!F17+'Necesidades de finaciación'!F18))),IF('Necesidades de finaciación'!G17=0,0,'Necesidades de finaciación'!F17/('Necesidades de finaciación'!G17-1)))</f>
        <v>30000</v>
      </c>
    </row>
    <row r="18" customFormat="false" ht="16.5" hidden="false" customHeight="true" outlineLevel="0" collapsed="false">
      <c r="B18" s="30" t="s">
        <v>271</v>
      </c>
      <c r="C18" s="70" t="n">
        <f aca="false">-('Amortización Contable'!F24)</f>
        <v>-1000</v>
      </c>
      <c r="E18" s="30" t="s">
        <v>265</v>
      </c>
      <c r="F18" s="12" t="n">
        <f aca="false">MIN(('Necesidades de finaciación'!F18-SUM('Flujo de Caja'!E15:P15)*(1-IF('Necesidades de finaciación'!F17+'Necesidades de finaciación'!F18=0,0,'Necesidades de finaciación'!F17/('Necesidades de finaciación'!F17+'Necesidades de finaciación'!F18)))),IF('Necesidades de finaciación'!G18=0,0,'Necesidades de finaciación'!F18/'Necesidades de finaciación'!G18))</f>
        <v>0</v>
      </c>
    </row>
    <row r="19" customFormat="false" ht="18" hidden="false" customHeight="true" outlineLevel="0" collapsed="false">
      <c r="B19" s="52" t="s">
        <v>272</v>
      </c>
      <c r="C19" s="166" t="n">
        <f aca="false">SUM(C20:C27)</f>
        <v>71714.648</v>
      </c>
      <c r="E19" s="30" t="s">
        <v>273</v>
      </c>
      <c r="F19" s="70" t="n">
        <f aca="false">MAX(0,'Liquidación de IVA'!I8+'Liquidación de IVA'!I9+'Liquidación de IVA'!I10+'Liquidación de IVA'!I11)-MAX(0,'Liquidación de IVA'!I8+'Liquidación de IVA'!I9+'Liquidación de IVA'!I10)</f>
        <v>0</v>
      </c>
    </row>
    <row r="20" customFormat="false" ht="18" hidden="false" customHeight="true" outlineLevel="0" collapsed="false">
      <c r="B20" s="30" t="s">
        <v>62</v>
      </c>
      <c r="C20" s="12" t="n">
        <f aca="false">'Amortización Contable'!C5</f>
        <v>30000</v>
      </c>
      <c r="E20" s="30" t="s">
        <v>274</v>
      </c>
      <c r="F20" s="12" t="n">
        <f aca="false">'Cuenta de Resultados Mensual'!O18</f>
        <v>0</v>
      </c>
    </row>
    <row r="21" customFormat="false" ht="15.75" hidden="false" customHeight="true" outlineLevel="0" collapsed="false">
      <c r="B21" s="30" t="s">
        <v>35</v>
      </c>
      <c r="C21" s="12" t="n">
        <f aca="false">'Amortización Contable'!C6</f>
        <v>0</v>
      </c>
    </row>
    <row r="22" customFormat="false" ht="15.75" hidden="false" customHeight="true" outlineLevel="0" collapsed="false">
      <c r="B22" s="30" t="s">
        <v>63</v>
      </c>
      <c r="C22" s="12" t="n">
        <f aca="false">'Amortización Contable'!C7</f>
        <v>47250</v>
      </c>
      <c r="J22" s="36"/>
    </row>
    <row r="23" customFormat="false" ht="15.75" hidden="false" customHeight="true" outlineLevel="0" collapsed="false">
      <c r="B23" s="30" t="s">
        <v>37</v>
      </c>
      <c r="C23" s="12" t="n">
        <f aca="false">'Amortización Contable'!C8</f>
        <v>0</v>
      </c>
    </row>
    <row r="24" customFormat="false" ht="15.75" hidden="false" customHeight="true" outlineLevel="0" collapsed="false">
      <c r="B24" s="30" t="s">
        <v>64</v>
      </c>
      <c r="C24" s="12" t="n">
        <f aca="false">'Amortización Contable'!C10</f>
        <v>210.72</v>
      </c>
    </row>
    <row r="25" customFormat="false" ht="15.75" hidden="false" customHeight="true" outlineLevel="0" collapsed="false">
      <c r="B25" s="30" t="s">
        <v>65</v>
      </c>
      <c r="C25" s="12" t="n">
        <f aca="false">'Amortización Contable'!C11</f>
        <v>5000</v>
      </c>
    </row>
    <row r="26" customFormat="false" ht="15.75" hidden="false" customHeight="true" outlineLevel="0" collapsed="false">
      <c r="B26" s="30" t="s">
        <v>40</v>
      </c>
      <c r="C26" s="12" t="n">
        <f aca="false">'Amortización Contable'!C9</f>
        <v>0</v>
      </c>
    </row>
    <row r="27" customFormat="false" ht="15.75" hidden="false" customHeight="true" outlineLevel="0" collapsed="false">
      <c r="B27" s="30" t="s">
        <v>275</v>
      </c>
      <c r="C27" s="12" t="n">
        <f aca="false">-('Amortización Contable'!F12)</f>
        <v>-10746.072</v>
      </c>
    </row>
    <row r="28" customFormat="false" ht="15.75" hidden="false" customHeight="true" outlineLevel="0" collapsed="false">
      <c r="B28" s="52" t="s">
        <v>276</v>
      </c>
      <c r="C28" s="166" t="n">
        <f aca="false">C29+C30+C32</f>
        <v>166551.68</v>
      </c>
    </row>
    <row r="29" customFormat="false" ht="15.75" hidden="false" customHeight="true" outlineLevel="0" collapsed="false">
      <c r="B29" s="30" t="s">
        <v>277</v>
      </c>
      <c r="C29" s="12" t="n">
        <f aca="false">'Inversión Inicial'!C28+'Inversión Inicial'!E28+'Inversión Inicial'!H28</f>
        <v>0</v>
      </c>
    </row>
    <row r="30" customFormat="false" ht="15.75" hidden="false" customHeight="true" outlineLevel="0" collapsed="false">
      <c r="B30" s="30" t="s">
        <v>278</v>
      </c>
      <c r="C30" s="70" t="n">
        <f aca="false">MAX(0,-('Liquidación de IVA'!I8+'Liquidación de IVA'!I9+'Liquidación de IVA'!I10+'Liquidación de IVA'!I11))</f>
        <v>16135.945</v>
      </c>
    </row>
    <row r="31" customFormat="false" ht="15.75" hidden="false" customHeight="true" outlineLevel="0" collapsed="false">
      <c r="B31" s="30" t="s">
        <v>279</v>
      </c>
      <c r="C31" s="11" t="n">
        <v>0</v>
      </c>
    </row>
    <row r="32" customFormat="false" ht="15.75" hidden="false" customHeight="true" outlineLevel="0" collapsed="false">
      <c r="B32" s="30" t="s">
        <v>280</v>
      </c>
      <c r="C32" s="12" t="n">
        <f aca="false">'Flujo de Caja'!P21</f>
        <v>150415.735</v>
      </c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>
      <c r="B35" s="30" t="s">
        <v>281</v>
      </c>
    </row>
    <row r="36" customFormat="false" ht="15.75" hidden="false" customHeight="true" outlineLevel="0" collapsed="false"/>
    <row r="37" customFormat="false" ht="15.75" hidden="false" customHeight="true" outlineLevel="0" collapsed="false">
      <c r="B37" s="56" t="s">
        <v>282</v>
      </c>
      <c r="C37" s="189" t="n">
        <f aca="false">C4</f>
        <v>247266.328</v>
      </c>
    </row>
    <row r="38" customFormat="false" ht="15.75" hidden="false" customHeight="true" outlineLevel="0" collapsed="false">
      <c r="B38" s="56" t="s">
        <v>283</v>
      </c>
      <c r="C38" s="190" t="n">
        <f aca="false">F4</f>
        <v>247266.328</v>
      </c>
      <c r="E38" s="75" t="s">
        <v>284</v>
      </c>
      <c r="F38" s="191" t="n">
        <f aca="false">F4</f>
        <v>247266.328</v>
      </c>
    </row>
    <row r="39" customFormat="false" ht="15.75" hidden="false" customHeight="true" outlineLevel="0" collapsed="false">
      <c r="E39" s="75" t="s">
        <v>285</v>
      </c>
      <c r="F39" s="75" t="n">
        <f aca="false">C37-F38</f>
        <v>0</v>
      </c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sheetProtection algorithmName="SHA-512" hashValue="A2z87xg58aSauFqLNG4i9AS0FM7tLSVfXr6PxFwYG96NcLg274ftYiME7nQWr19XCbN1DmPuEp/qH1/CHSreyg==" saltValue="XqA3BfcV0gKISXIYZcNhow==" spinCount="100000" sheet="true" objects="true" scenarios="true"/>
  <mergeCells count="1">
    <mergeCell ref="B2:C2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D2" activeCellId="0" sqref="D2"/>
    </sheetView>
  </sheetViews>
  <sheetFormatPr defaultColWidth="14.50390625" defaultRowHeight="15" zeroHeight="false" outlineLevelRow="0" outlineLevelCol="0"/>
  <cols>
    <col collapsed="false" customWidth="true" hidden="false" outlineLevel="0" max="1" min="1" style="4" width="10.67"/>
    <col collapsed="false" customWidth="true" hidden="false" outlineLevel="0" max="2" min="2" style="4" width="43.67"/>
    <col collapsed="false" customWidth="true" hidden="false" outlineLevel="0" max="7" min="3" style="4" width="18.83"/>
    <col collapsed="false" customWidth="true" hidden="false" outlineLevel="0" max="26" min="8" style="4" width="10.67"/>
    <col collapsed="false" customWidth="false" hidden="false" outlineLevel="0" max="16384" min="27" style="4" width="14.5"/>
  </cols>
  <sheetData>
    <row r="1" customFormat="false" ht="30" hidden="false" customHeight="true" outlineLevel="0" collapsed="false">
      <c r="A1" s="192" t="s">
        <v>286</v>
      </c>
      <c r="B1" s="192"/>
      <c r="C1" s="192"/>
      <c r="D1" s="192"/>
      <c r="E1" s="192"/>
      <c r="F1" s="192"/>
      <c r="G1" s="192"/>
    </row>
    <row r="2" customFormat="false" ht="27.75" hidden="false" customHeight="true" outlineLevel="0" collapsed="false">
      <c r="A2" s="42" t="s">
        <v>287</v>
      </c>
      <c r="B2" s="42"/>
      <c r="C2" s="42"/>
      <c r="D2" s="42"/>
      <c r="E2" s="42"/>
      <c r="F2" s="42"/>
      <c r="G2" s="42"/>
    </row>
    <row r="3" customFormat="false" ht="33" hidden="false" customHeight="true" outlineLevel="0" collapsed="false">
      <c r="B3" s="25" t="s">
        <v>288</v>
      </c>
      <c r="C3" s="157" t="n">
        <v>0.15</v>
      </c>
      <c r="D3" s="193"/>
      <c r="E3" s="49"/>
    </row>
    <row r="4" customFormat="false" ht="22.5" hidden="false" customHeight="true" outlineLevel="0" collapsed="false">
      <c r="B4" s="194" t="s">
        <v>289</v>
      </c>
      <c r="C4" s="194"/>
      <c r="D4" s="157" t="n">
        <v>0.02</v>
      </c>
      <c r="E4" s="157" t="n">
        <v>0.05</v>
      </c>
      <c r="F4" s="157" t="n">
        <v>0.07</v>
      </c>
      <c r="G4" s="157" t="n">
        <v>0.1</v>
      </c>
    </row>
    <row r="5" customFormat="false" ht="18" hidden="false" customHeight="true" outlineLevel="0" collapsed="false">
      <c r="B5" s="195"/>
      <c r="C5" s="2" t="s">
        <v>201</v>
      </c>
      <c r="D5" s="2" t="s">
        <v>290</v>
      </c>
      <c r="E5" s="2" t="s">
        <v>291</v>
      </c>
      <c r="F5" s="2" t="s">
        <v>292</v>
      </c>
      <c r="G5" s="2" t="s">
        <v>293</v>
      </c>
    </row>
    <row r="6" customFormat="false" ht="16.5" hidden="false" customHeight="true" outlineLevel="0" collapsed="false">
      <c r="B6" s="126" t="s">
        <v>241</v>
      </c>
      <c r="C6" s="186" t="n">
        <f aca="false">'Cuenta de Resultados Mensual'!O6</f>
        <v>39500</v>
      </c>
      <c r="D6" s="186" t="n">
        <f aca="false">C6*(1+D$4)</f>
        <v>40290</v>
      </c>
      <c r="E6" s="186" t="n">
        <f aca="false">D6*(1+E$4)</f>
        <v>42304.5</v>
      </c>
      <c r="F6" s="186" t="n">
        <f aca="false">E6*(1+F$4)</f>
        <v>45265.815</v>
      </c>
      <c r="G6" s="186" t="n">
        <f aca="false">F6*(1+G$4)</f>
        <v>49792.3965</v>
      </c>
    </row>
    <row r="7" customFormat="false" ht="18" hidden="false" customHeight="true" outlineLevel="0" collapsed="false">
      <c r="B7" s="126" t="s">
        <v>294</v>
      </c>
      <c r="C7" s="186" t="n">
        <f aca="false">'Cuenta de Resultados Mensual'!O7</f>
        <v>10696</v>
      </c>
      <c r="D7" s="186" t="n">
        <f aca="false">C7*(1+D$4)</f>
        <v>10909.92</v>
      </c>
      <c r="E7" s="186" t="n">
        <f aca="false">D7*(1+E$4)</f>
        <v>11455.416</v>
      </c>
      <c r="F7" s="186" t="n">
        <f aca="false">E7*(1+F$4)</f>
        <v>12257.29512</v>
      </c>
      <c r="G7" s="186" t="n">
        <f aca="false">F7*(1+G$4)</f>
        <v>13483.024632</v>
      </c>
    </row>
    <row r="8" customFormat="false" ht="18" hidden="false" customHeight="true" outlineLevel="0" collapsed="false">
      <c r="B8" s="52" t="s">
        <v>112</v>
      </c>
      <c r="C8" s="165" t="n">
        <f aca="false">C6-C7</f>
        <v>28804</v>
      </c>
      <c r="D8" s="165" t="n">
        <f aca="false">D6-D7</f>
        <v>29380.08</v>
      </c>
      <c r="E8" s="165" t="n">
        <f aca="false">E6-E7</f>
        <v>30849.084</v>
      </c>
      <c r="F8" s="165" t="n">
        <f aca="false">F6-F7</f>
        <v>33008.51988</v>
      </c>
      <c r="G8" s="165" t="n">
        <f aca="false">G6-G7</f>
        <v>36309.371868</v>
      </c>
    </row>
    <row r="9" customFormat="false" ht="18" hidden="false" customHeight="true" outlineLevel="0" collapsed="false">
      <c r="B9" s="52" t="s">
        <v>295</v>
      </c>
      <c r="C9" s="196" t="n">
        <f aca="false">C8/C6</f>
        <v>0.729215189873418</v>
      </c>
      <c r="D9" s="196" t="n">
        <f aca="false">D8/D6</f>
        <v>0.729215189873418</v>
      </c>
      <c r="E9" s="196" t="n">
        <f aca="false">E8/E6</f>
        <v>0.729215189873418</v>
      </c>
      <c r="F9" s="196" t="n">
        <f aca="false">F8/F6</f>
        <v>0.729215189873418</v>
      </c>
      <c r="G9" s="196" t="n">
        <f aca="false">G8/G6</f>
        <v>0.729215189873418</v>
      </c>
    </row>
    <row r="10" customFormat="false" ht="16.5" hidden="false" customHeight="true" outlineLevel="0" collapsed="false">
      <c r="B10" s="126" t="s">
        <v>296</v>
      </c>
      <c r="C10" s="186" t="n">
        <f aca="false">'Cuenta de Resultados Mensual'!O9</f>
        <v>52566.6666666666</v>
      </c>
      <c r="D10" s="186" t="n">
        <f aca="false">C10*(1+D$4)</f>
        <v>53618</v>
      </c>
      <c r="E10" s="186" t="n">
        <f aca="false">D10*(1+E$4)</f>
        <v>56298.9</v>
      </c>
      <c r="F10" s="186" t="n">
        <f aca="false">E10*(1+F$4)</f>
        <v>60239.823</v>
      </c>
      <c r="G10" s="186" t="n">
        <f aca="false">F10*(1+G$4)</f>
        <v>66263.8053</v>
      </c>
    </row>
    <row r="11" customFormat="false" ht="16.5" hidden="false" customHeight="true" outlineLevel="0" collapsed="false">
      <c r="B11" s="126" t="s">
        <v>245</v>
      </c>
      <c r="C11" s="186" t="n">
        <f aca="false">'Cuenta de Resultados Mensual'!O11</f>
        <v>2566.66666666666</v>
      </c>
      <c r="D11" s="186" t="n">
        <f aca="false">C11*(1+D$4)</f>
        <v>2618</v>
      </c>
      <c r="E11" s="186" t="n">
        <f aca="false">D11*(1+E$4)</f>
        <v>2748.9</v>
      </c>
      <c r="F11" s="186" t="n">
        <f aca="false">E11*(1+F$4)</f>
        <v>2941.323</v>
      </c>
      <c r="G11" s="186" t="n">
        <f aca="false">F11*(1+G$4)</f>
        <v>3235.4553</v>
      </c>
    </row>
    <row r="12" customFormat="false" ht="16.5" hidden="false" customHeight="true" outlineLevel="0" collapsed="false">
      <c r="B12" s="126" t="s">
        <v>244</v>
      </c>
      <c r="C12" s="186" t="n">
        <f aca="false">'Cuenta de Resultados Mensual'!O10</f>
        <v>11916.6666666667</v>
      </c>
      <c r="D12" s="186" t="n">
        <f aca="false">C12*(1+D$4)</f>
        <v>12155</v>
      </c>
      <c r="E12" s="186" t="n">
        <f aca="false">D12*(1+E$4)</f>
        <v>12762.75</v>
      </c>
      <c r="F12" s="186" t="n">
        <f aca="false">E12*(1+F$4)</f>
        <v>13656.1425</v>
      </c>
      <c r="G12" s="186" t="n">
        <f aca="false">F12*(1+G$4)</f>
        <v>15021.75675</v>
      </c>
    </row>
    <row r="13" customFormat="false" ht="18" hidden="false" customHeight="true" outlineLevel="0" collapsed="false">
      <c r="B13" s="126" t="s">
        <v>246</v>
      </c>
      <c r="C13" s="186" t="n">
        <f aca="false">'Cuenta de Resultados Mensual'!O12</f>
        <v>11746.072</v>
      </c>
      <c r="D13" s="186" t="n">
        <f aca="false">C13*(1+D$4)</f>
        <v>11980.99344</v>
      </c>
      <c r="E13" s="186" t="n">
        <f aca="false">D13*(1+E$4)</f>
        <v>12580.043112</v>
      </c>
      <c r="F13" s="186" t="n">
        <f aca="false">E13*(1+F$4)</f>
        <v>13460.64612984</v>
      </c>
      <c r="G13" s="186" t="n">
        <f aca="false">F13*(1+G$4)</f>
        <v>14806.710742824</v>
      </c>
    </row>
    <row r="14" customFormat="false" ht="18" hidden="false" customHeight="true" outlineLevel="0" collapsed="false">
      <c r="B14" s="52" t="s">
        <v>247</v>
      </c>
      <c r="C14" s="165" t="n">
        <f aca="false">'Cuenta de Resultados Mensual'!O13</f>
        <v>78796.072</v>
      </c>
      <c r="D14" s="165" t="n">
        <f aca="false">SUM(D10:D13)</f>
        <v>80371.99344</v>
      </c>
      <c r="E14" s="165" t="n">
        <f aca="false">SUM(E10:E13)</f>
        <v>84390.593112</v>
      </c>
      <c r="F14" s="165" t="n">
        <f aca="false">SUM(F10:F13)</f>
        <v>90297.93462984</v>
      </c>
      <c r="G14" s="165" t="n">
        <f aca="false">SUM(G10:G13)</f>
        <v>99327.728092824</v>
      </c>
    </row>
    <row r="15" customFormat="false" ht="16.5" hidden="false" customHeight="true" outlineLevel="0" collapsed="false">
      <c r="B15" s="126" t="s">
        <v>297</v>
      </c>
      <c r="C15" s="70" t="n">
        <f aca="false">'Cuenta de Resultados Mensual'!O14</f>
        <v>-49992.072</v>
      </c>
      <c r="D15" s="186" t="n">
        <f aca="false">D8-D14</f>
        <v>-50991.91344</v>
      </c>
      <c r="E15" s="186" t="n">
        <f aca="false">E8-E14</f>
        <v>-53541.509112</v>
      </c>
      <c r="F15" s="186" t="n">
        <f aca="false">F8-F14</f>
        <v>-57289.41474984</v>
      </c>
      <c r="G15" s="186" t="n">
        <f aca="false">F15*(1+G$4)</f>
        <v>-63018.356224824</v>
      </c>
    </row>
    <row r="16" customFormat="false" ht="16.5" hidden="false" customHeight="true" outlineLevel="0" collapsed="false">
      <c r="B16" s="126" t="s">
        <v>298</v>
      </c>
      <c r="C16" s="70" t="n">
        <f aca="false">'Cuenta de Resultados Mensual'!O15</f>
        <v>12600</v>
      </c>
      <c r="D16" s="186" t="n">
        <f aca="false">'Necesidades de finaciación'!F17*'Necesidades de finaciación'!H17/12*(12-66/36)</f>
        <v>10675</v>
      </c>
      <c r="E16" s="186" t="n">
        <f aca="false">'Necesidades de finaciación'!F17*'Necesidades de finaciación'!H17/12*(8-66/36)</f>
        <v>6475</v>
      </c>
      <c r="F16" s="186" t="n">
        <f aca="false">'Necesidades de finaciación'!F17*'Necesidades de finaciación'!H17/12*(4-66/36)</f>
        <v>2275</v>
      </c>
      <c r="G16" s="186" t="n">
        <v>0</v>
      </c>
    </row>
    <row r="17" customFormat="false" ht="16.5" hidden="false" customHeight="true" outlineLevel="0" collapsed="false">
      <c r="B17" s="126" t="s">
        <v>251</v>
      </c>
      <c r="C17" s="70" t="n">
        <f aca="false">'Cuenta de Resultados Mensual'!O17</f>
        <v>-62592.072</v>
      </c>
      <c r="D17" s="186" t="n">
        <f aca="false">D15-D16</f>
        <v>-61666.91344</v>
      </c>
      <c r="E17" s="186" t="n">
        <f aca="false">E15-E16</f>
        <v>-60016.509112</v>
      </c>
      <c r="F17" s="186" t="n">
        <f aca="false">F15-F16</f>
        <v>-59564.41474984</v>
      </c>
      <c r="G17" s="186" t="n">
        <f aca="false">G15-G16</f>
        <v>-63018.356224824</v>
      </c>
    </row>
    <row r="18" customFormat="false" ht="18" hidden="false" customHeight="true" outlineLevel="0" collapsed="false">
      <c r="A18" s="197" t="s">
        <v>299</v>
      </c>
      <c r="B18" s="197"/>
      <c r="C18" s="197"/>
      <c r="D18" s="197"/>
      <c r="E18" s="197"/>
      <c r="F18" s="197"/>
      <c r="G18" s="197"/>
    </row>
    <row r="19" customFormat="false" ht="18" hidden="false" customHeight="true" outlineLevel="0" collapsed="false">
      <c r="A19" s="30" t="s">
        <v>300</v>
      </c>
      <c r="B19" s="198" t="n">
        <v>143396.18</v>
      </c>
      <c r="C19" s="199" t="n">
        <f aca="false">C17-C18</f>
        <v>-62592.072</v>
      </c>
      <c r="D19" s="199" t="n">
        <f aca="false">D17-D18</f>
        <v>-61666.91344</v>
      </c>
      <c r="E19" s="199" t="n">
        <f aca="false">E17-E18</f>
        <v>-60016.509112</v>
      </c>
      <c r="F19" s="199" t="n">
        <f aca="false">F17-F18</f>
        <v>-59564.41474984</v>
      </c>
      <c r="G19" s="199" t="n">
        <f aca="false">G17-G18</f>
        <v>-63018.356224824</v>
      </c>
    </row>
    <row r="20" customFormat="false" ht="15" hidden="false" customHeight="true" outlineLevel="0" collapsed="false">
      <c r="A20" s="200" t="s">
        <v>301</v>
      </c>
      <c r="B20" s="201" t="n">
        <v>152447.01</v>
      </c>
      <c r="C20" s="202"/>
      <c r="D20" s="202"/>
      <c r="E20" s="200"/>
      <c r="F20" s="200"/>
      <c r="G20" s="200"/>
    </row>
    <row r="21" customFormat="false" ht="15.75" hidden="false" customHeight="true" outlineLevel="0" collapsed="false">
      <c r="A21" s="75" t="s">
        <v>302</v>
      </c>
      <c r="B21" s="101" t="n">
        <f aca="false">C6</f>
        <v>39500</v>
      </c>
      <c r="C21" s="75" t="n">
        <v>0</v>
      </c>
      <c r="D21" s="75"/>
      <c r="E21" s="30"/>
      <c r="F21" s="30"/>
      <c r="G21" s="30"/>
    </row>
    <row r="22" customFormat="false" ht="15.75" hidden="false" customHeight="true" outlineLevel="0" collapsed="false">
      <c r="A22" s="75" t="s">
        <v>303</v>
      </c>
      <c r="B22" s="75" t="s">
        <v>304</v>
      </c>
      <c r="C22" s="75" t="n">
        <f aca="false">C21*780000</f>
        <v>0</v>
      </c>
      <c r="D22" s="75"/>
      <c r="E22" s="30"/>
      <c r="F22" s="30"/>
      <c r="G22" s="30"/>
    </row>
    <row r="23" customFormat="false" ht="15.75" hidden="false" customHeight="true" outlineLevel="0" collapsed="false">
      <c r="A23" s="75" t="s">
        <v>305</v>
      </c>
      <c r="B23" s="75" t="s">
        <v>306</v>
      </c>
      <c r="C23" s="75" t="n">
        <f aca="false">C21*1630000</f>
        <v>0</v>
      </c>
      <c r="D23" s="193"/>
    </row>
    <row r="24" customFormat="false" ht="15.75" hidden="false" customHeight="true" outlineLevel="0" collapsed="false">
      <c r="A24" s="75" t="s">
        <v>307</v>
      </c>
      <c r="B24" s="75" t="s">
        <v>306</v>
      </c>
      <c r="C24" s="75" t="n">
        <f aca="false">C21*2925000</f>
        <v>0</v>
      </c>
      <c r="D24" s="193"/>
    </row>
    <row r="25" customFormat="false" ht="15.75" hidden="false" customHeight="true" outlineLevel="0" collapsed="false">
      <c r="A25" s="203" t="s">
        <v>308</v>
      </c>
      <c r="B25" s="75" t="s">
        <v>306</v>
      </c>
      <c r="C25" s="75" t="n">
        <f aca="false">C21*760000</f>
        <v>0</v>
      </c>
      <c r="D25" s="193"/>
    </row>
    <row r="26" customFormat="false" ht="15.75" hidden="false" customHeight="true" outlineLevel="0" collapsed="false">
      <c r="A26" s="204" t="s">
        <v>309</v>
      </c>
      <c r="B26" s="4" t="s">
        <v>306</v>
      </c>
      <c r="C26" s="193" t="n">
        <v>0</v>
      </c>
      <c r="D26" s="193"/>
    </row>
    <row r="27" customFormat="false" ht="15.75" hidden="false" customHeight="true" outlineLevel="0" collapsed="false">
      <c r="A27" s="205" t="s">
        <v>310</v>
      </c>
      <c r="B27" s="4" t="s">
        <v>306</v>
      </c>
      <c r="C27" s="193" t="n">
        <v>780000</v>
      </c>
      <c r="D27" s="193"/>
    </row>
    <row r="28" customFormat="false" ht="15.75" hidden="false" customHeight="true" outlineLevel="0" collapsed="false">
      <c r="A28" s="205" t="s">
        <v>305</v>
      </c>
      <c r="B28" s="4" t="s">
        <v>306</v>
      </c>
      <c r="C28" s="193" t="n">
        <v>1630000</v>
      </c>
      <c r="D28" s="193"/>
    </row>
    <row r="29" customFormat="false" ht="15.75" hidden="false" customHeight="true" outlineLevel="0" collapsed="false">
      <c r="A29" s="205" t="s">
        <v>307</v>
      </c>
      <c r="B29" s="4" t="s">
        <v>306</v>
      </c>
      <c r="C29" s="193" t="n">
        <v>2925000</v>
      </c>
      <c r="D29" s="193"/>
    </row>
    <row r="30" customFormat="false" ht="15.75" hidden="false" customHeight="true" outlineLevel="0" collapsed="false">
      <c r="A30" s="205" t="s">
        <v>311</v>
      </c>
      <c r="B30" s="4" t="s">
        <v>306</v>
      </c>
      <c r="C30" s="193" t="n">
        <v>760000</v>
      </c>
      <c r="D30" s="193"/>
    </row>
    <row r="31" customFormat="false" ht="15.75" hidden="false" customHeight="true" outlineLevel="0" collapsed="false">
      <c r="A31" s="206" t="s">
        <v>312</v>
      </c>
      <c r="B31" s="206"/>
      <c r="C31" s="206"/>
      <c r="D31" s="206"/>
      <c r="E31" s="206"/>
      <c r="F31" s="206"/>
      <c r="G31" s="206"/>
    </row>
    <row r="32" customFormat="false" ht="15.75" hidden="false" customHeight="true" outlineLevel="0" collapsed="false">
      <c r="C32" s="193"/>
      <c r="D32" s="193"/>
    </row>
    <row r="33" customFormat="false" ht="15.75" hidden="false" customHeight="true" outlineLevel="0" collapsed="false">
      <c r="C33" s="193"/>
      <c r="D33" s="193"/>
    </row>
    <row r="34" customFormat="false" ht="15.75" hidden="false" customHeight="true" outlineLevel="0" collapsed="false">
      <c r="C34" s="193"/>
      <c r="D34" s="193"/>
    </row>
    <row r="35" customFormat="false" ht="15.75" hidden="false" customHeight="true" outlineLevel="0" collapsed="false">
      <c r="C35" s="193"/>
      <c r="D35" s="193"/>
    </row>
    <row r="36" customFormat="false" ht="15.75" hidden="false" customHeight="true" outlineLevel="0" collapsed="false">
      <c r="C36" s="193"/>
      <c r="D36" s="193"/>
    </row>
    <row r="37" customFormat="false" ht="15.75" hidden="false" customHeight="true" outlineLevel="0" collapsed="false">
      <c r="C37" s="193"/>
      <c r="D37" s="193"/>
    </row>
    <row r="38" customFormat="false" ht="15.75" hidden="false" customHeight="true" outlineLevel="0" collapsed="false">
      <c r="C38" s="193"/>
      <c r="D38" s="193"/>
    </row>
    <row r="39" customFormat="false" ht="15.75" hidden="false" customHeight="true" outlineLevel="0" collapsed="false">
      <c r="C39" s="193"/>
      <c r="D39" s="193"/>
    </row>
    <row r="40" customFormat="false" ht="15.75" hidden="false" customHeight="true" outlineLevel="0" collapsed="false">
      <c r="C40" s="193"/>
      <c r="D40" s="193"/>
    </row>
    <row r="41" customFormat="false" ht="15.75" hidden="false" customHeight="true" outlineLevel="0" collapsed="false">
      <c r="C41" s="193"/>
      <c r="D41" s="193"/>
    </row>
    <row r="42" customFormat="false" ht="15.75" hidden="false" customHeight="true" outlineLevel="0" collapsed="false">
      <c r="C42" s="193"/>
      <c r="D42" s="193"/>
    </row>
    <row r="43" customFormat="false" ht="15.75" hidden="false" customHeight="true" outlineLevel="0" collapsed="false">
      <c r="C43" s="193"/>
      <c r="D43" s="193"/>
    </row>
    <row r="44" customFormat="false" ht="15.75" hidden="false" customHeight="true" outlineLevel="0" collapsed="false">
      <c r="C44" s="193"/>
      <c r="D44" s="193"/>
    </row>
    <row r="45" customFormat="false" ht="15.75" hidden="false" customHeight="true" outlineLevel="0" collapsed="false">
      <c r="C45" s="193"/>
      <c r="D45" s="193"/>
    </row>
    <row r="46" customFormat="false" ht="15.75" hidden="false" customHeight="true" outlineLevel="0" collapsed="false">
      <c r="C46" s="193"/>
      <c r="D46" s="193"/>
    </row>
    <row r="47" customFormat="false" ht="15.75" hidden="false" customHeight="true" outlineLevel="0" collapsed="false">
      <c r="C47" s="193"/>
      <c r="D47" s="193"/>
    </row>
    <row r="48" customFormat="false" ht="15.75" hidden="false" customHeight="true" outlineLevel="0" collapsed="false">
      <c r="C48" s="193"/>
      <c r="D48" s="193"/>
    </row>
    <row r="49" customFormat="false" ht="15.75" hidden="false" customHeight="true" outlineLevel="0" collapsed="false">
      <c r="C49" s="193"/>
      <c r="D49" s="193"/>
    </row>
    <row r="50" customFormat="false" ht="15.75" hidden="false" customHeight="true" outlineLevel="0" collapsed="false">
      <c r="C50" s="193"/>
      <c r="D50" s="193"/>
    </row>
    <row r="51" customFormat="false" ht="15.75" hidden="false" customHeight="true" outlineLevel="0" collapsed="false">
      <c r="C51" s="193"/>
      <c r="D51" s="193"/>
    </row>
    <row r="52" customFormat="false" ht="15.75" hidden="false" customHeight="true" outlineLevel="0" collapsed="false">
      <c r="C52" s="193"/>
      <c r="D52" s="193"/>
    </row>
    <row r="53" customFormat="false" ht="15.75" hidden="false" customHeight="true" outlineLevel="0" collapsed="false">
      <c r="C53" s="193"/>
      <c r="D53" s="193"/>
    </row>
    <row r="54" customFormat="false" ht="15.75" hidden="false" customHeight="true" outlineLevel="0" collapsed="false">
      <c r="C54" s="193"/>
      <c r="D54" s="193"/>
    </row>
    <row r="55" customFormat="false" ht="15.75" hidden="false" customHeight="true" outlineLevel="0" collapsed="false">
      <c r="C55" s="193"/>
      <c r="D55" s="193"/>
    </row>
    <row r="56" customFormat="false" ht="15.75" hidden="false" customHeight="true" outlineLevel="0" collapsed="false">
      <c r="C56" s="193"/>
      <c r="D56" s="193"/>
    </row>
    <row r="57" customFormat="false" ht="15.75" hidden="false" customHeight="true" outlineLevel="0" collapsed="false">
      <c r="C57" s="193"/>
      <c r="D57" s="193"/>
    </row>
    <row r="58" customFormat="false" ht="15.75" hidden="false" customHeight="true" outlineLevel="0" collapsed="false">
      <c r="C58" s="193"/>
      <c r="D58" s="193"/>
    </row>
    <row r="59" customFormat="false" ht="15.75" hidden="false" customHeight="true" outlineLevel="0" collapsed="false">
      <c r="C59" s="193"/>
      <c r="D59" s="193"/>
    </row>
    <row r="60" customFormat="false" ht="15.75" hidden="false" customHeight="true" outlineLevel="0" collapsed="false">
      <c r="C60" s="193"/>
      <c r="D60" s="193"/>
    </row>
    <row r="61" customFormat="false" ht="15.75" hidden="false" customHeight="true" outlineLevel="0" collapsed="false">
      <c r="C61" s="193"/>
      <c r="D61" s="193"/>
    </row>
    <row r="62" customFormat="false" ht="15.75" hidden="false" customHeight="true" outlineLevel="0" collapsed="false">
      <c r="C62" s="193"/>
      <c r="D62" s="193"/>
    </row>
    <row r="63" customFormat="false" ht="15.75" hidden="false" customHeight="true" outlineLevel="0" collapsed="false">
      <c r="C63" s="193"/>
      <c r="D63" s="193"/>
    </row>
    <row r="64" customFormat="false" ht="15.75" hidden="false" customHeight="true" outlineLevel="0" collapsed="false">
      <c r="C64" s="193"/>
      <c r="D64" s="193"/>
    </row>
    <row r="65" customFormat="false" ht="15.75" hidden="false" customHeight="true" outlineLevel="0" collapsed="false">
      <c r="C65" s="193"/>
      <c r="D65" s="193"/>
    </row>
    <row r="66" customFormat="false" ht="15.75" hidden="false" customHeight="true" outlineLevel="0" collapsed="false">
      <c r="C66" s="193"/>
      <c r="D66" s="193"/>
    </row>
    <row r="67" customFormat="false" ht="15.75" hidden="false" customHeight="true" outlineLevel="0" collapsed="false">
      <c r="C67" s="193"/>
      <c r="D67" s="193"/>
    </row>
    <row r="68" customFormat="false" ht="15.75" hidden="false" customHeight="true" outlineLevel="0" collapsed="false">
      <c r="C68" s="193"/>
      <c r="D68" s="193"/>
    </row>
    <row r="69" customFormat="false" ht="15.75" hidden="false" customHeight="true" outlineLevel="0" collapsed="false">
      <c r="C69" s="193"/>
      <c r="D69" s="193"/>
    </row>
    <row r="70" customFormat="false" ht="15.75" hidden="false" customHeight="true" outlineLevel="0" collapsed="false">
      <c r="C70" s="193"/>
      <c r="D70" s="193"/>
    </row>
    <row r="71" customFormat="false" ht="15.75" hidden="false" customHeight="true" outlineLevel="0" collapsed="false">
      <c r="C71" s="193"/>
      <c r="D71" s="193"/>
    </row>
    <row r="72" customFormat="false" ht="15.75" hidden="false" customHeight="true" outlineLevel="0" collapsed="false">
      <c r="C72" s="193"/>
      <c r="D72" s="193"/>
    </row>
    <row r="73" customFormat="false" ht="15.75" hidden="false" customHeight="true" outlineLevel="0" collapsed="false">
      <c r="C73" s="193"/>
      <c r="D73" s="193"/>
    </row>
    <row r="74" customFormat="false" ht="15.75" hidden="false" customHeight="true" outlineLevel="0" collapsed="false">
      <c r="C74" s="193"/>
      <c r="D74" s="193"/>
    </row>
    <row r="75" customFormat="false" ht="15.75" hidden="false" customHeight="true" outlineLevel="0" collapsed="false">
      <c r="C75" s="193"/>
      <c r="D75" s="193"/>
    </row>
    <row r="76" customFormat="false" ht="15.75" hidden="false" customHeight="true" outlineLevel="0" collapsed="false">
      <c r="C76" s="193"/>
      <c r="D76" s="193"/>
    </row>
    <row r="77" customFormat="false" ht="15.75" hidden="false" customHeight="true" outlineLevel="0" collapsed="false">
      <c r="C77" s="193"/>
      <c r="D77" s="193"/>
    </row>
    <row r="78" customFormat="false" ht="15.75" hidden="false" customHeight="true" outlineLevel="0" collapsed="false">
      <c r="C78" s="193"/>
      <c r="D78" s="193"/>
    </row>
    <row r="79" customFormat="false" ht="15.75" hidden="false" customHeight="true" outlineLevel="0" collapsed="false">
      <c r="C79" s="193"/>
      <c r="D79" s="193"/>
    </row>
    <row r="80" customFormat="false" ht="15.75" hidden="false" customHeight="true" outlineLevel="0" collapsed="false">
      <c r="C80" s="193"/>
      <c r="D80" s="193"/>
    </row>
    <row r="81" customFormat="false" ht="15.75" hidden="false" customHeight="true" outlineLevel="0" collapsed="false">
      <c r="C81" s="193"/>
      <c r="D81" s="193"/>
    </row>
    <row r="82" customFormat="false" ht="15.75" hidden="false" customHeight="true" outlineLevel="0" collapsed="false">
      <c r="C82" s="193"/>
      <c r="D82" s="193"/>
    </row>
    <row r="83" customFormat="false" ht="15.75" hidden="false" customHeight="true" outlineLevel="0" collapsed="false">
      <c r="C83" s="193"/>
      <c r="D83" s="193"/>
    </row>
    <row r="84" customFormat="false" ht="15.75" hidden="false" customHeight="true" outlineLevel="0" collapsed="false">
      <c r="C84" s="193"/>
      <c r="D84" s="193"/>
    </row>
    <row r="85" customFormat="false" ht="15.75" hidden="false" customHeight="true" outlineLevel="0" collapsed="false">
      <c r="C85" s="193"/>
      <c r="D85" s="193"/>
    </row>
    <row r="86" customFormat="false" ht="15.75" hidden="false" customHeight="true" outlineLevel="0" collapsed="false">
      <c r="C86" s="193"/>
      <c r="D86" s="193"/>
    </row>
    <row r="87" customFormat="false" ht="15.75" hidden="false" customHeight="true" outlineLevel="0" collapsed="false">
      <c r="C87" s="193"/>
      <c r="D87" s="193"/>
    </row>
    <row r="88" customFormat="false" ht="15.75" hidden="false" customHeight="true" outlineLevel="0" collapsed="false">
      <c r="C88" s="193"/>
      <c r="D88" s="193"/>
    </row>
    <row r="89" customFormat="false" ht="15.75" hidden="false" customHeight="true" outlineLevel="0" collapsed="false">
      <c r="C89" s="193"/>
      <c r="D89" s="193"/>
    </row>
    <row r="90" customFormat="false" ht="15.75" hidden="false" customHeight="true" outlineLevel="0" collapsed="false">
      <c r="C90" s="193"/>
      <c r="D90" s="193"/>
    </row>
    <row r="91" customFormat="false" ht="15.75" hidden="false" customHeight="true" outlineLevel="0" collapsed="false">
      <c r="C91" s="193"/>
      <c r="D91" s="193"/>
    </row>
    <row r="92" customFormat="false" ht="15.75" hidden="false" customHeight="true" outlineLevel="0" collapsed="false">
      <c r="C92" s="193"/>
      <c r="D92" s="193"/>
    </row>
    <row r="93" customFormat="false" ht="15.75" hidden="false" customHeight="true" outlineLevel="0" collapsed="false">
      <c r="C93" s="193"/>
      <c r="D93" s="193"/>
    </row>
    <row r="94" customFormat="false" ht="15.75" hidden="false" customHeight="true" outlineLevel="0" collapsed="false">
      <c r="C94" s="193"/>
      <c r="D94" s="193"/>
    </row>
    <row r="95" customFormat="false" ht="15.75" hidden="false" customHeight="true" outlineLevel="0" collapsed="false">
      <c r="C95" s="193"/>
      <c r="D95" s="193"/>
    </row>
    <row r="96" customFormat="false" ht="15.75" hidden="false" customHeight="true" outlineLevel="0" collapsed="false">
      <c r="C96" s="193"/>
      <c r="D96" s="193"/>
    </row>
    <row r="97" customFormat="false" ht="15.75" hidden="false" customHeight="true" outlineLevel="0" collapsed="false">
      <c r="C97" s="193"/>
      <c r="D97" s="193"/>
    </row>
    <row r="98" customFormat="false" ht="15.75" hidden="false" customHeight="true" outlineLevel="0" collapsed="false">
      <c r="C98" s="193"/>
      <c r="D98" s="193"/>
    </row>
    <row r="99" customFormat="false" ht="15.75" hidden="false" customHeight="true" outlineLevel="0" collapsed="false">
      <c r="C99" s="193"/>
      <c r="D99" s="193"/>
    </row>
    <row r="100" customFormat="false" ht="15.75" hidden="false" customHeight="true" outlineLevel="0" collapsed="false">
      <c r="C100" s="193"/>
      <c r="D100" s="193"/>
    </row>
    <row r="101" customFormat="false" ht="15.75" hidden="false" customHeight="true" outlineLevel="0" collapsed="false">
      <c r="C101" s="193"/>
      <c r="D101" s="193"/>
    </row>
    <row r="102" customFormat="false" ht="15.75" hidden="false" customHeight="true" outlineLevel="0" collapsed="false">
      <c r="C102" s="193"/>
      <c r="D102" s="193"/>
    </row>
    <row r="103" customFormat="false" ht="15.75" hidden="false" customHeight="true" outlineLevel="0" collapsed="false">
      <c r="C103" s="193"/>
      <c r="D103" s="193"/>
    </row>
    <row r="104" customFormat="false" ht="15.75" hidden="false" customHeight="true" outlineLevel="0" collapsed="false">
      <c r="C104" s="193"/>
      <c r="D104" s="193"/>
    </row>
    <row r="105" customFormat="false" ht="15.75" hidden="false" customHeight="true" outlineLevel="0" collapsed="false">
      <c r="C105" s="193"/>
      <c r="D105" s="193"/>
    </row>
    <row r="106" customFormat="false" ht="15.75" hidden="false" customHeight="true" outlineLevel="0" collapsed="false">
      <c r="C106" s="193"/>
      <c r="D106" s="193"/>
    </row>
    <row r="107" customFormat="false" ht="15.75" hidden="false" customHeight="true" outlineLevel="0" collapsed="false">
      <c r="C107" s="193"/>
      <c r="D107" s="193"/>
    </row>
    <row r="108" customFormat="false" ht="15.75" hidden="false" customHeight="true" outlineLevel="0" collapsed="false">
      <c r="C108" s="193"/>
      <c r="D108" s="193"/>
    </row>
    <row r="109" customFormat="false" ht="15.75" hidden="false" customHeight="true" outlineLevel="0" collapsed="false">
      <c r="C109" s="193"/>
      <c r="D109" s="193"/>
    </row>
    <row r="110" customFormat="false" ht="15.75" hidden="false" customHeight="true" outlineLevel="0" collapsed="false">
      <c r="C110" s="193"/>
      <c r="D110" s="193"/>
    </row>
    <row r="111" customFormat="false" ht="15.75" hidden="false" customHeight="true" outlineLevel="0" collapsed="false">
      <c r="C111" s="193"/>
      <c r="D111" s="193"/>
    </row>
    <row r="112" customFormat="false" ht="15.75" hidden="false" customHeight="true" outlineLevel="0" collapsed="false">
      <c r="C112" s="193"/>
      <c r="D112" s="193"/>
    </row>
    <row r="113" customFormat="false" ht="15.75" hidden="false" customHeight="true" outlineLevel="0" collapsed="false">
      <c r="C113" s="193"/>
      <c r="D113" s="193"/>
    </row>
    <row r="114" customFormat="false" ht="15.75" hidden="false" customHeight="true" outlineLevel="0" collapsed="false">
      <c r="C114" s="193"/>
      <c r="D114" s="193"/>
    </row>
    <row r="115" customFormat="false" ht="15.75" hidden="false" customHeight="true" outlineLevel="0" collapsed="false">
      <c r="C115" s="193"/>
      <c r="D115" s="193"/>
    </row>
    <row r="116" customFormat="false" ht="15.75" hidden="false" customHeight="true" outlineLevel="0" collapsed="false">
      <c r="C116" s="193"/>
      <c r="D116" s="193"/>
    </row>
    <row r="117" customFormat="false" ht="15.75" hidden="false" customHeight="true" outlineLevel="0" collapsed="false">
      <c r="C117" s="193"/>
      <c r="D117" s="193"/>
    </row>
    <row r="118" customFormat="false" ht="15.75" hidden="false" customHeight="true" outlineLevel="0" collapsed="false">
      <c r="C118" s="193"/>
      <c r="D118" s="193"/>
    </row>
    <row r="119" customFormat="false" ht="15.75" hidden="false" customHeight="true" outlineLevel="0" collapsed="false">
      <c r="C119" s="193"/>
      <c r="D119" s="193"/>
    </row>
    <row r="120" customFormat="false" ht="15.75" hidden="false" customHeight="true" outlineLevel="0" collapsed="false">
      <c r="C120" s="193"/>
      <c r="D120" s="193"/>
    </row>
    <row r="121" customFormat="false" ht="15.75" hidden="false" customHeight="true" outlineLevel="0" collapsed="false">
      <c r="C121" s="193"/>
      <c r="D121" s="193"/>
    </row>
    <row r="122" customFormat="false" ht="15.75" hidden="false" customHeight="true" outlineLevel="0" collapsed="false">
      <c r="C122" s="193"/>
      <c r="D122" s="193"/>
    </row>
    <row r="123" customFormat="false" ht="15.75" hidden="false" customHeight="true" outlineLevel="0" collapsed="false">
      <c r="C123" s="193"/>
      <c r="D123" s="193"/>
    </row>
    <row r="124" customFormat="false" ht="15.75" hidden="false" customHeight="true" outlineLevel="0" collapsed="false">
      <c r="C124" s="193"/>
      <c r="D124" s="193"/>
    </row>
    <row r="125" customFormat="false" ht="15.75" hidden="false" customHeight="true" outlineLevel="0" collapsed="false">
      <c r="C125" s="193"/>
      <c r="D125" s="193"/>
    </row>
    <row r="126" customFormat="false" ht="15.75" hidden="false" customHeight="true" outlineLevel="0" collapsed="false">
      <c r="C126" s="193"/>
      <c r="D126" s="193"/>
    </row>
    <row r="127" customFormat="false" ht="15.75" hidden="false" customHeight="true" outlineLevel="0" collapsed="false">
      <c r="C127" s="193"/>
      <c r="D127" s="193"/>
    </row>
    <row r="128" customFormat="false" ht="15.75" hidden="false" customHeight="true" outlineLevel="0" collapsed="false">
      <c r="C128" s="193"/>
      <c r="D128" s="193"/>
    </row>
    <row r="129" customFormat="false" ht="15.75" hidden="false" customHeight="true" outlineLevel="0" collapsed="false">
      <c r="C129" s="193"/>
      <c r="D129" s="193"/>
    </row>
    <row r="130" customFormat="false" ht="15.75" hidden="false" customHeight="true" outlineLevel="0" collapsed="false">
      <c r="C130" s="193"/>
      <c r="D130" s="193"/>
    </row>
    <row r="131" customFormat="false" ht="15.75" hidden="false" customHeight="true" outlineLevel="0" collapsed="false">
      <c r="C131" s="193"/>
      <c r="D131" s="193"/>
    </row>
    <row r="132" customFormat="false" ht="15.75" hidden="false" customHeight="true" outlineLevel="0" collapsed="false">
      <c r="C132" s="193"/>
      <c r="D132" s="193"/>
    </row>
    <row r="133" customFormat="false" ht="15.75" hidden="false" customHeight="true" outlineLevel="0" collapsed="false">
      <c r="C133" s="193"/>
      <c r="D133" s="193"/>
    </row>
    <row r="134" customFormat="false" ht="15.75" hidden="false" customHeight="true" outlineLevel="0" collapsed="false">
      <c r="C134" s="193"/>
      <c r="D134" s="193"/>
    </row>
    <row r="135" customFormat="false" ht="15.75" hidden="false" customHeight="true" outlineLevel="0" collapsed="false">
      <c r="C135" s="193"/>
      <c r="D135" s="193"/>
    </row>
    <row r="136" customFormat="false" ht="15.75" hidden="false" customHeight="true" outlineLevel="0" collapsed="false">
      <c r="C136" s="193"/>
      <c r="D136" s="193"/>
    </row>
    <row r="137" customFormat="false" ht="15.75" hidden="false" customHeight="true" outlineLevel="0" collapsed="false">
      <c r="C137" s="193"/>
      <c r="D137" s="193"/>
    </row>
    <row r="138" customFormat="false" ht="15.75" hidden="false" customHeight="true" outlineLevel="0" collapsed="false">
      <c r="C138" s="193"/>
      <c r="D138" s="193"/>
    </row>
    <row r="139" customFormat="false" ht="15.75" hidden="false" customHeight="true" outlineLevel="0" collapsed="false">
      <c r="C139" s="193"/>
      <c r="D139" s="193"/>
    </row>
    <row r="140" customFormat="false" ht="15.75" hidden="false" customHeight="true" outlineLevel="0" collapsed="false">
      <c r="C140" s="193"/>
      <c r="D140" s="193"/>
    </row>
    <row r="141" customFormat="false" ht="15.75" hidden="false" customHeight="true" outlineLevel="0" collapsed="false">
      <c r="C141" s="193"/>
      <c r="D141" s="193"/>
    </row>
    <row r="142" customFormat="false" ht="15.75" hidden="false" customHeight="true" outlineLevel="0" collapsed="false">
      <c r="C142" s="193"/>
      <c r="D142" s="193"/>
    </row>
    <row r="143" customFormat="false" ht="15.75" hidden="false" customHeight="true" outlineLevel="0" collapsed="false">
      <c r="C143" s="193"/>
      <c r="D143" s="193"/>
    </row>
    <row r="144" customFormat="false" ht="15.75" hidden="false" customHeight="true" outlineLevel="0" collapsed="false">
      <c r="C144" s="193"/>
      <c r="D144" s="193"/>
    </row>
    <row r="145" customFormat="false" ht="15.75" hidden="false" customHeight="true" outlineLevel="0" collapsed="false">
      <c r="C145" s="193"/>
      <c r="D145" s="193"/>
    </row>
    <row r="146" customFormat="false" ht="15.75" hidden="false" customHeight="true" outlineLevel="0" collapsed="false">
      <c r="C146" s="193"/>
      <c r="D146" s="193"/>
    </row>
    <row r="147" customFormat="false" ht="15.75" hidden="false" customHeight="true" outlineLevel="0" collapsed="false">
      <c r="C147" s="193"/>
      <c r="D147" s="193"/>
    </row>
    <row r="148" customFormat="false" ht="15.75" hidden="false" customHeight="true" outlineLevel="0" collapsed="false">
      <c r="C148" s="193"/>
      <c r="D148" s="193"/>
    </row>
    <row r="149" customFormat="false" ht="15.75" hidden="false" customHeight="true" outlineLevel="0" collapsed="false">
      <c r="C149" s="193"/>
      <c r="D149" s="193"/>
    </row>
    <row r="150" customFormat="false" ht="15.75" hidden="false" customHeight="true" outlineLevel="0" collapsed="false">
      <c r="C150" s="193"/>
      <c r="D150" s="193"/>
    </row>
    <row r="151" customFormat="false" ht="15.75" hidden="false" customHeight="true" outlineLevel="0" collapsed="false">
      <c r="C151" s="193"/>
      <c r="D151" s="193"/>
    </row>
    <row r="152" customFormat="false" ht="15.75" hidden="false" customHeight="true" outlineLevel="0" collapsed="false">
      <c r="C152" s="193"/>
      <c r="D152" s="193"/>
    </row>
    <row r="153" customFormat="false" ht="15.75" hidden="false" customHeight="true" outlineLevel="0" collapsed="false">
      <c r="C153" s="193"/>
      <c r="D153" s="193"/>
    </row>
    <row r="154" customFormat="false" ht="15.75" hidden="false" customHeight="true" outlineLevel="0" collapsed="false">
      <c r="C154" s="193"/>
      <c r="D154" s="193"/>
    </row>
    <row r="155" customFormat="false" ht="15.75" hidden="false" customHeight="true" outlineLevel="0" collapsed="false">
      <c r="C155" s="193"/>
      <c r="D155" s="193"/>
    </row>
    <row r="156" customFormat="false" ht="15.75" hidden="false" customHeight="true" outlineLevel="0" collapsed="false">
      <c r="C156" s="193"/>
      <c r="D156" s="193"/>
    </row>
    <row r="157" customFormat="false" ht="15.75" hidden="false" customHeight="true" outlineLevel="0" collapsed="false">
      <c r="C157" s="193"/>
      <c r="D157" s="193"/>
    </row>
    <row r="158" customFormat="false" ht="15.75" hidden="false" customHeight="true" outlineLevel="0" collapsed="false">
      <c r="C158" s="193"/>
      <c r="D158" s="193"/>
    </row>
    <row r="159" customFormat="false" ht="15.75" hidden="false" customHeight="true" outlineLevel="0" collapsed="false">
      <c r="C159" s="193"/>
      <c r="D159" s="193"/>
    </row>
    <row r="160" customFormat="false" ht="15.75" hidden="false" customHeight="true" outlineLevel="0" collapsed="false">
      <c r="C160" s="193"/>
      <c r="D160" s="193"/>
    </row>
    <row r="161" customFormat="false" ht="15.75" hidden="false" customHeight="true" outlineLevel="0" collapsed="false">
      <c r="C161" s="193"/>
      <c r="D161" s="193"/>
    </row>
    <row r="162" customFormat="false" ht="15.75" hidden="false" customHeight="true" outlineLevel="0" collapsed="false">
      <c r="C162" s="193"/>
      <c r="D162" s="193"/>
    </row>
    <row r="163" customFormat="false" ht="15.75" hidden="false" customHeight="true" outlineLevel="0" collapsed="false">
      <c r="C163" s="193"/>
      <c r="D163" s="193"/>
    </row>
    <row r="164" customFormat="false" ht="15.75" hidden="false" customHeight="true" outlineLevel="0" collapsed="false">
      <c r="C164" s="193"/>
      <c r="D164" s="193"/>
    </row>
    <row r="165" customFormat="false" ht="15.75" hidden="false" customHeight="true" outlineLevel="0" collapsed="false">
      <c r="C165" s="193"/>
      <c r="D165" s="193"/>
    </row>
    <row r="166" customFormat="false" ht="15.75" hidden="false" customHeight="true" outlineLevel="0" collapsed="false">
      <c r="C166" s="193"/>
      <c r="D166" s="193"/>
    </row>
    <row r="167" customFormat="false" ht="15.75" hidden="false" customHeight="true" outlineLevel="0" collapsed="false">
      <c r="C167" s="193"/>
      <c r="D167" s="193"/>
    </row>
    <row r="168" customFormat="false" ht="15.75" hidden="false" customHeight="true" outlineLevel="0" collapsed="false">
      <c r="C168" s="193"/>
      <c r="D168" s="193"/>
    </row>
    <row r="169" customFormat="false" ht="15.75" hidden="false" customHeight="true" outlineLevel="0" collapsed="false">
      <c r="C169" s="193"/>
      <c r="D169" s="193"/>
    </row>
    <row r="170" customFormat="false" ht="15.75" hidden="false" customHeight="true" outlineLevel="0" collapsed="false">
      <c r="C170" s="193"/>
      <c r="D170" s="193"/>
    </row>
    <row r="171" customFormat="false" ht="15.75" hidden="false" customHeight="true" outlineLevel="0" collapsed="false">
      <c r="C171" s="193"/>
      <c r="D171" s="193"/>
    </row>
    <row r="172" customFormat="false" ht="15.75" hidden="false" customHeight="true" outlineLevel="0" collapsed="false">
      <c r="C172" s="193"/>
      <c r="D172" s="193"/>
    </row>
    <row r="173" customFormat="false" ht="15.75" hidden="false" customHeight="true" outlineLevel="0" collapsed="false">
      <c r="C173" s="193"/>
      <c r="D173" s="193"/>
    </row>
    <row r="174" customFormat="false" ht="15.75" hidden="false" customHeight="true" outlineLevel="0" collapsed="false">
      <c r="C174" s="193"/>
      <c r="D174" s="193"/>
    </row>
    <row r="175" customFormat="false" ht="15.75" hidden="false" customHeight="true" outlineLevel="0" collapsed="false">
      <c r="C175" s="193"/>
      <c r="D175" s="193"/>
    </row>
    <row r="176" customFormat="false" ht="15.75" hidden="false" customHeight="true" outlineLevel="0" collapsed="false">
      <c r="C176" s="193"/>
      <c r="D176" s="193"/>
    </row>
    <row r="177" customFormat="false" ht="15.75" hidden="false" customHeight="true" outlineLevel="0" collapsed="false">
      <c r="C177" s="193"/>
      <c r="D177" s="193"/>
    </row>
    <row r="178" customFormat="false" ht="15.75" hidden="false" customHeight="true" outlineLevel="0" collapsed="false">
      <c r="C178" s="193"/>
      <c r="D178" s="193"/>
    </row>
    <row r="179" customFormat="false" ht="15.75" hidden="false" customHeight="true" outlineLevel="0" collapsed="false">
      <c r="C179" s="193"/>
      <c r="D179" s="193"/>
    </row>
    <row r="180" customFormat="false" ht="15.75" hidden="false" customHeight="true" outlineLevel="0" collapsed="false">
      <c r="C180" s="193"/>
      <c r="D180" s="193"/>
    </row>
    <row r="181" customFormat="false" ht="15.75" hidden="false" customHeight="true" outlineLevel="0" collapsed="false">
      <c r="C181" s="193"/>
      <c r="D181" s="193"/>
    </row>
    <row r="182" customFormat="false" ht="15.75" hidden="false" customHeight="true" outlineLevel="0" collapsed="false">
      <c r="C182" s="193"/>
      <c r="D182" s="193"/>
    </row>
    <row r="183" customFormat="false" ht="15.75" hidden="false" customHeight="true" outlineLevel="0" collapsed="false">
      <c r="C183" s="193"/>
      <c r="D183" s="193"/>
    </row>
    <row r="184" customFormat="false" ht="15.75" hidden="false" customHeight="true" outlineLevel="0" collapsed="false">
      <c r="C184" s="193"/>
      <c r="D184" s="193"/>
    </row>
    <row r="185" customFormat="false" ht="15.75" hidden="false" customHeight="true" outlineLevel="0" collapsed="false">
      <c r="C185" s="193"/>
      <c r="D185" s="193"/>
    </row>
    <row r="186" customFormat="false" ht="15.75" hidden="false" customHeight="true" outlineLevel="0" collapsed="false">
      <c r="C186" s="193"/>
      <c r="D186" s="193"/>
    </row>
    <row r="187" customFormat="false" ht="15.75" hidden="false" customHeight="true" outlineLevel="0" collapsed="false">
      <c r="C187" s="193"/>
      <c r="D187" s="193"/>
    </row>
    <row r="188" customFormat="false" ht="15.75" hidden="false" customHeight="true" outlineLevel="0" collapsed="false">
      <c r="C188" s="193"/>
      <c r="D188" s="193"/>
    </row>
    <row r="189" customFormat="false" ht="15.75" hidden="false" customHeight="true" outlineLevel="0" collapsed="false">
      <c r="C189" s="193"/>
      <c r="D189" s="193"/>
    </row>
    <row r="190" customFormat="false" ht="15.75" hidden="false" customHeight="true" outlineLevel="0" collapsed="false">
      <c r="C190" s="193"/>
      <c r="D190" s="193"/>
    </row>
    <row r="191" customFormat="false" ht="15.75" hidden="false" customHeight="true" outlineLevel="0" collapsed="false">
      <c r="C191" s="193"/>
      <c r="D191" s="193"/>
    </row>
    <row r="192" customFormat="false" ht="15.75" hidden="false" customHeight="true" outlineLevel="0" collapsed="false">
      <c r="C192" s="193"/>
      <c r="D192" s="193"/>
    </row>
    <row r="193" customFormat="false" ht="15.75" hidden="false" customHeight="true" outlineLevel="0" collapsed="false">
      <c r="C193" s="193"/>
      <c r="D193" s="193"/>
    </row>
    <row r="194" customFormat="false" ht="15.75" hidden="false" customHeight="true" outlineLevel="0" collapsed="false">
      <c r="C194" s="193"/>
      <c r="D194" s="193"/>
    </row>
    <row r="195" customFormat="false" ht="15.75" hidden="false" customHeight="true" outlineLevel="0" collapsed="false">
      <c r="C195" s="193"/>
      <c r="D195" s="193"/>
    </row>
    <row r="196" customFormat="false" ht="15.75" hidden="false" customHeight="true" outlineLevel="0" collapsed="false">
      <c r="C196" s="193"/>
      <c r="D196" s="193"/>
    </row>
    <row r="197" customFormat="false" ht="15.75" hidden="false" customHeight="true" outlineLevel="0" collapsed="false">
      <c r="C197" s="193"/>
      <c r="D197" s="193"/>
    </row>
    <row r="198" customFormat="false" ht="15.75" hidden="false" customHeight="true" outlineLevel="0" collapsed="false">
      <c r="C198" s="193"/>
      <c r="D198" s="193"/>
    </row>
    <row r="199" customFormat="false" ht="15.75" hidden="false" customHeight="true" outlineLevel="0" collapsed="false">
      <c r="C199" s="193"/>
      <c r="D199" s="193"/>
    </row>
    <row r="200" customFormat="false" ht="15.75" hidden="false" customHeight="true" outlineLevel="0" collapsed="false">
      <c r="C200" s="193"/>
      <c r="D200" s="193"/>
    </row>
    <row r="201" customFormat="false" ht="15.75" hidden="false" customHeight="true" outlineLevel="0" collapsed="false">
      <c r="C201" s="193"/>
      <c r="D201" s="193"/>
    </row>
    <row r="202" customFormat="false" ht="15.75" hidden="false" customHeight="true" outlineLevel="0" collapsed="false">
      <c r="C202" s="193"/>
      <c r="D202" s="193"/>
    </row>
    <row r="203" customFormat="false" ht="15.75" hidden="false" customHeight="true" outlineLevel="0" collapsed="false">
      <c r="C203" s="193"/>
      <c r="D203" s="193"/>
    </row>
    <row r="204" customFormat="false" ht="15.75" hidden="false" customHeight="true" outlineLevel="0" collapsed="false">
      <c r="C204" s="193"/>
      <c r="D204" s="193"/>
    </row>
    <row r="205" customFormat="false" ht="15.75" hidden="false" customHeight="true" outlineLevel="0" collapsed="false">
      <c r="C205" s="193"/>
      <c r="D205" s="193"/>
    </row>
    <row r="206" customFormat="false" ht="15.75" hidden="false" customHeight="true" outlineLevel="0" collapsed="false">
      <c r="C206" s="193"/>
      <c r="D206" s="193"/>
    </row>
    <row r="207" customFormat="false" ht="15.75" hidden="false" customHeight="true" outlineLevel="0" collapsed="false">
      <c r="C207" s="193"/>
      <c r="D207" s="193"/>
    </row>
    <row r="208" customFormat="false" ht="15.75" hidden="false" customHeight="true" outlineLevel="0" collapsed="false">
      <c r="C208" s="193"/>
      <c r="D208" s="193"/>
    </row>
    <row r="209" customFormat="false" ht="15.75" hidden="false" customHeight="true" outlineLevel="0" collapsed="false">
      <c r="C209" s="193"/>
      <c r="D209" s="193"/>
    </row>
    <row r="210" customFormat="false" ht="15.75" hidden="false" customHeight="true" outlineLevel="0" collapsed="false">
      <c r="C210" s="193"/>
      <c r="D210" s="193"/>
    </row>
    <row r="211" customFormat="false" ht="15.75" hidden="false" customHeight="true" outlineLevel="0" collapsed="false">
      <c r="C211" s="193"/>
      <c r="D211" s="193"/>
    </row>
    <row r="212" customFormat="false" ht="15.75" hidden="false" customHeight="true" outlineLevel="0" collapsed="false">
      <c r="C212" s="193"/>
      <c r="D212" s="193"/>
    </row>
    <row r="213" customFormat="false" ht="15.75" hidden="false" customHeight="true" outlineLevel="0" collapsed="false">
      <c r="C213" s="193"/>
      <c r="D213" s="193"/>
    </row>
    <row r="214" customFormat="false" ht="15.75" hidden="false" customHeight="true" outlineLevel="0" collapsed="false">
      <c r="C214" s="193"/>
      <c r="D214" s="193"/>
    </row>
    <row r="215" customFormat="false" ht="15.75" hidden="false" customHeight="true" outlineLevel="0" collapsed="false">
      <c r="C215" s="193"/>
      <c r="D215" s="193"/>
    </row>
    <row r="216" customFormat="false" ht="15.75" hidden="false" customHeight="true" outlineLevel="0" collapsed="false">
      <c r="C216" s="193"/>
      <c r="D216" s="193"/>
    </row>
    <row r="217" customFormat="false" ht="15.75" hidden="false" customHeight="true" outlineLevel="0" collapsed="false">
      <c r="C217" s="193"/>
      <c r="D217" s="193"/>
    </row>
    <row r="218" customFormat="false" ht="15.75" hidden="false" customHeight="true" outlineLevel="0" collapsed="false">
      <c r="C218" s="193"/>
      <c r="D218" s="193"/>
    </row>
    <row r="219" customFormat="false" ht="15.75" hidden="false" customHeight="true" outlineLevel="0" collapsed="false">
      <c r="C219" s="193"/>
      <c r="D219" s="193"/>
    </row>
    <row r="220" customFormat="false" ht="15.75" hidden="false" customHeight="true" outlineLevel="0" collapsed="false">
      <c r="C220" s="193"/>
      <c r="D220" s="193"/>
    </row>
    <row r="221" customFormat="false" ht="15.75" hidden="false" customHeight="true" outlineLevel="0" collapsed="false">
      <c r="C221" s="193"/>
      <c r="D221" s="193"/>
    </row>
    <row r="222" customFormat="false" ht="15.75" hidden="false" customHeight="true" outlineLevel="0" collapsed="false">
      <c r="C222" s="193"/>
      <c r="D222" s="193"/>
    </row>
    <row r="223" customFormat="false" ht="15.75" hidden="false" customHeight="true" outlineLevel="0" collapsed="false">
      <c r="C223" s="193"/>
      <c r="D223" s="193"/>
    </row>
    <row r="224" customFormat="false" ht="15.75" hidden="false" customHeight="true" outlineLevel="0" collapsed="false">
      <c r="C224" s="193"/>
      <c r="D224" s="193"/>
    </row>
    <row r="225" customFormat="false" ht="15.75" hidden="false" customHeight="true" outlineLevel="0" collapsed="false">
      <c r="C225" s="193"/>
      <c r="D225" s="193"/>
    </row>
    <row r="226" customFormat="false" ht="15.75" hidden="false" customHeight="true" outlineLevel="0" collapsed="false">
      <c r="C226" s="193"/>
      <c r="D226" s="193"/>
    </row>
    <row r="227" customFormat="false" ht="15.75" hidden="false" customHeight="true" outlineLevel="0" collapsed="false">
      <c r="C227" s="193"/>
      <c r="D227" s="193"/>
    </row>
    <row r="228" customFormat="false" ht="15.75" hidden="false" customHeight="true" outlineLevel="0" collapsed="false">
      <c r="C228" s="193"/>
      <c r="D228" s="193"/>
    </row>
    <row r="229" customFormat="false" ht="15.75" hidden="false" customHeight="true" outlineLevel="0" collapsed="false">
      <c r="C229" s="193"/>
      <c r="D229" s="193"/>
    </row>
    <row r="230" customFormat="false" ht="15.75" hidden="false" customHeight="true" outlineLevel="0" collapsed="false">
      <c r="C230" s="193"/>
      <c r="D230" s="193"/>
    </row>
    <row r="231" customFormat="false" ht="15.75" hidden="false" customHeight="true" outlineLevel="0" collapsed="false">
      <c r="C231" s="193"/>
      <c r="D231" s="193"/>
    </row>
    <row r="232" customFormat="false" ht="15.75" hidden="false" customHeight="true" outlineLevel="0" collapsed="false">
      <c r="C232" s="193"/>
      <c r="D232" s="193"/>
    </row>
    <row r="233" customFormat="false" ht="15.75" hidden="false" customHeight="true" outlineLevel="0" collapsed="false">
      <c r="C233" s="193"/>
      <c r="D233" s="193"/>
    </row>
    <row r="234" customFormat="false" ht="15.75" hidden="false" customHeight="true" outlineLevel="0" collapsed="false">
      <c r="C234" s="193"/>
      <c r="D234" s="193"/>
    </row>
    <row r="235" customFormat="false" ht="15.75" hidden="false" customHeight="true" outlineLevel="0" collapsed="false">
      <c r="C235" s="193"/>
      <c r="D235" s="193"/>
    </row>
    <row r="236" customFormat="false" ht="15.75" hidden="false" customHeight="true" outlineLevel="0" collapsed="false">
      <c r="C236" s="193"/>
      <c r="D236" s="193"/>
    </row>
    <row r="237" customFormat="false" ht="15.75" hidden="false" customHeight="true" outlineLevel="0" collapsed="false">
      <c r="C237" s="193"/>
      <c r="D237" s="193"/>
    </row>
    <row r="238" customFormat="false" ht="15.75" hidden="false" customHeight="true" outlineLevel="0" collapsed="false">
      <c r="C238" s="193"/>
      <c r="D238" s="193"/>
    </row>
    <row r="239" customFormat="false" ht="15.75" hidden="false" customHeight="true" outlineLevel="0" collapsed="false">
      <c r="C239" s="193"/>
      <c r="D239" s="193"/>
    </row>
    <row r="240" customFormat="false" ht="15.75" hidden="false" customHeight="true" outlineLevel="0" collapsed="false">
      <c r="C240" s="193"/>
      <c r="D240" s="193"/>
    </row>
    <row r="241" customFormat="false" ht="15.75" hidden="false" customHeight="true" outlineLevel="0" collapsed="false">
      <c r="C241" s="193"/>
      <c r="D241" s="193"/>
    </row>
    <row r="242" customFormat="false" ht="15.75" hidden="false" customHeight="true" outlineLevel="0" collapsed="false">
      <c r="C242" s="193"/>
      <c r="D242" s="193"/>
    </row>
    <row r="243" customFormat="false" ht="15.75" hidden="false" customHeight="true" outlineLevel="0" collapsed="false">
      <c r="C243" s="193"/>
      <c r="D243" s="193"/>
    </row>
    <row r="244" customFormat="false" ht="15.75" hidden="false" customHeight="true" outlineLevel="0" collapsed="false">
      <c r="C244" s="193"/>
      <c r="D244" s="193"/>
    </row>
    <row r="245" customFormat="false" ht="15.75" hidden="false" customHeight="true" outlineLevel="0" collapsed="false">
      <c r="C245" s="193"/>
      <c r="D245" s="193"/>
    </row>
    <row r="246" customFormat="false" ht="15.75" hidden="false" customHeight="true" outlineLevel="0" collapsed="false">
      <c r="C246" s="193"/>
      <c r="D246" s="193"/>
    </row>
    <row r="247" customFormat="false" ht="15.75" hidden="false" customHeight="true" outlineLevel="0" collapsed="false">
      <c r="C247" s="193"/>
      <c r="D247" s="193"/>
    </row>
    <row r="248" customFormat="false" ht="15.75" hidden="false" customHeight="true" outlineLevel="0" collapsed="false">
      <c r="C248" s="193"/>
      <c r="D248" s="193"/>
    </row>
    <row r="249" customFormat="false" ht="15.75" hidden="false" customHeight="true" outlineLevel="0" collapsed="false">
      <c r="C249" s="193"/>
      <c r="D249" s="193"/>
    </row>
    <row r="250" customFormat="false" ht="15.75" hidden="false" customHeight="true" outlineLevel="0" collapsed="false">
      <c r="C250" s="193"/>
      <c r="D250" s="193"/>
    </row>
    <row r="251" customFormat="false" ht="15.75" hidden="false" customHeight="true" outlineLevel="0" collapsed="false">
      <c r="C251" s="193"/>
      <c r="D251" s="193"/>
    </row>
    <row r="252" customFormat="false" ht="15.75" hidden="false" customHeight="true" outlineLevel="0" collapsed="false">
      <c r="C252" s="193"/>
      <c r="D252" s="193"/>
    </row>
    <row r="253" customFormat="false" ht="15.75" hidden="false" customHeight="true" outlineLevel="0" collapsed="false">
      <c r="C253" s="193"/>
      <c r="D253" s="193"/>
    </row>
    <row r="254" customFormat="false" ht="15.75" hidden="false" customHeight="true" outlineLevel="0" collapsed="false">
      <c r="C254" s="193"/>
      <c r="D254" s="193"/>
    </row>
    <row r="255" customFormat="false" ht="15.75" hidden="false" customHeight="true" outlineLevel="0" collapsed="false">
      <c r="C255" s="193"/>
      <c r="D255" s="193"/>
    </row>
    <row r="256" customFormat="false" ht="15.75" hidden="false" customHeight="true" outlineLevel="0" collapsed="false">
      <c r="C256" s="193"/>
      <c r="D256" s="193"/>
    </row>
    <row r="257" customFormat="false" ht="15.75" hidden="false" customHeight="true" outlineLevel="0" collapsed="false">
      <c r="C257" s="193"/>
      <c r="D257" s="193"/>
    </row>
    <row r="258" customFormat="false" ht="15.75" hidden="false" customHeight="true" outlineLevel="0" collapsed="false">
      <c r="C258" s="193"/>
      <c r="D258" s="193"/>
    </row>
    <row r="259" customFormat="false" ht="15.75" hidden="false" customHeight="true" outlineLevel="0" collapsed="false">
      <c r="C259" s="193"/>
      <c r="D259" s="193"/>
    </row>
    <row r="260" customFormat="false" ht="15.75" hidden="false" customHeight="true" outlineLevel="0" collapsed="false">
      <c r="C260" s="193"/>
      <c r="D260" s="193"/>
    </row>
    <row r="261" customFormat="false" ht="15.75" hidden="false" customHeight="true" outlineLevel="0" collapsed="false">
      <c r="C261" s="193"/>
      <c r="D261" s="193"/>
    </row>
    <row r="262" customFormat="false" ht="15.75" hidden="false" customHeight="true" outlineLevel="0" collapsed="false">
      <c r="C262" s="193"/>
      <c r="D262" s="193"/>
    </row>
    <row r="263" customFormat="false" ht="15.75" hidden="false" customHeight="true" outlineLevel="0" collapsed="false">
      <c r="C263" s="193"/>
      <c r="D263" s="193"/>
    </row>
    <row r="264" customFormat="false" ht="15.75" hidden="false" customHeight="true" outlineLevel="0" collapsed="false">
      <c r="C264" s="193"/>
      <c r="D264" s="193"/>
    </row>
    <row r="265" customFormat="false" ht="15.75" hidden="false" customHeight="true" outlineLevel="0" collapsed="false">
      <c r="C265" s="193"/>
      <c r="D265" s="193"/>
    </row>
    <row r="266" customFormat="false" ht="15.75" hidden="false" customHeight="true" outlineLevel="0" collapsed="false">
      <c r="C266" s="193"/>
      <c r="D266" s="193"/>
    </row>
    <row r="267" customFormat="false" ht="15.75" hidden="false" customHeight="true" outlineLevel="0" collapsed="false">
      <c r="C267" s="193"/>
      <c r="D267" s="193"/>
    </row>
    <row r="268" customFormat="false" ht="15.75" hidden="false" customHeight="true" outlineLevel="0" collapsed="false">
      <c r="C268" s="193"/>
      <c r="D268" s="193"/>
    </row>
    <row r="269" customFormat="false" ht="15.75" hidden="false" customHeight="true" outlineLevel="0" collapsed="false">
      <c r="C269" s="193"/>
      <c r="D269" s="193"/>
    </row>
    <row r="270" customFormat="false" ht="15.75" hidden="false" customHeight="true" outlineLevel="0" collapsed="false">
      <c r="C270" s="193"/>
      <c r="D270" s="193"/>
    </row>
    <row r="271" customFormat="false" ht="15.75" hidden="false" customHeight="true" outlineLevel="0" collapsed="false">
      <c r="C271" s="193"/>
      <c r="D271" s="193"/>
    </row>
    <row r="272" customFormat="false" ht="15.75" hidden="false" customHeight="true" outlineLevel="0" collapsed="false">
      <c r="C272" s="193"/>
      <c r="D272" s="193"/>
    </row>
    <row r="273" customFormat="false" ht="15.75" hidden="false" customHeight="true" outlineLevel="0" collapsed="false">
      <c r="C273" s="193"/>
      <c r="D273" s="193"/>
    </row>
    <row r="274" customFormat="false" ht="15.75" hidden="false" customHeight="true" outlineLevel="0" collapsed="false">
      <c r="C274" s="193"/>
      <c r="D274" s="193"/>
    </row>
    <row r="275" customFormat="false" ht="15.75" hidden="false" customHeight="true" outlineLevel="0" collapsed="false">
      <c r="C275" s="193"/>
      <c r="D275" s="193"/>
    </row>
    <row r="276" customFormat="false" ht="15.75" hidden="false" customHeight="true" outlineLevel="0" collapsed="false">
      <c r="C276" s="193"/>
      <c r="D276" s="193"/>
    </row>
    <row r="277" customFormat="false" ht="15.75" hidden="false" customHeight="true" outlineLevel="0" collapsed="false">
      <c r="C277" s="193"/>
      <c r="D277" s="193"/>
    </row>
    <row r="278" customFormat="false" ht="15.75" hidden="false" customHeight="true" outlineLevel="0" collapsed="false">
      <c r="C278" s="193"/>
      <c r="D278" s="193"/>
    </row>
    <row r="279" customFormat="false" ht="15.75" hidden="false" customHeight="true" outlineLevel="0" collapsed="false">
      <c r="C279" s="193"/>
      <c r="D279" s="193"/>
    </row>
    <row r="280" customFormat="false" ht="15.75" hidden="false" customHeight="true" outlineLevel="0" collapsed="false">
      <c r="C280" s="193"/>
      <c r="D280" s="193"/>
    </row>
    <row r="281" customFormat="false" ht="15.75" hidden="false" customHeight="true" outlineLevel="0" collapsed="false">
      <c r="C281" s="193"/>
      <c r="D281" s="193"/>
    </row>
    <row r="282" customFormat="false" ht="15.75" hidden="false" customHeight="true" outlineLevel="0" collapsed="false">
      <c r="C282" s="193"/>
      <c r="D282" s="193"/>
    </row>
    <row r="283" customFormat="false" ht="15.75" hidden="false" customHeight="true" outlineLevel="0" collapsed="false">
      <c r="C283" s="193"/>
      <c r="D283" s="193"/>
    </row>
    <row r="284" customFormat="false" ht="15.75" hidden="false" customHeight="true" outlineLevel="0" collapsed="false">
      <c r="C284" s="193"/>
      <c r="D284" s="193"/>
    </row>
    <row r="285" customFormat="false" ht="15.75" hidden="false" customHeight="true" outlineLevel="0" collapsed="false">
      <c r="C285" s="193"/>
      <c r="D285" s="193"/>
    </row>
    <row r="286" customFormat="false" ht="15.75" hidden="false" customHeight="true" outlineLevel="0" collapsed="false">
      <c r="C286" s="193"/>
      <c r="D286" s="193"/>
    </row>
    <row r="287" customFormat="false" ht="15.75" hidden="false" customHeight="true" outlineLevel="0" collapsed="false">
      <c r="C287" s="193"/>
      <c r="D287" s="193"/>
    </row>
    <row r="288" customFormat="false" ht="15.75" hidden="false" customHeight="true" outlineLevel="0" collapsed="false">
      <c r="C288" s="193"/>
      <c r="D288" s="193"/>
    </row>
    <row r="289" customFormat="false" ht="15.75" hidden="false" customHeight="true" outlineLevel="0" collapsed="false">
      <c r="C289" s="193"/>
      <c r="D289" s="193"/>
    </row>
    <row r="290" customFormat="false" ht="15.75" hidden="false" customHeight="true" outlineLevel="0" collapsed="false">
      <c r="C290" s="193"/>
      <c r="D290" s="193"/>
    </row>
    <row r="291" customFormat="false" ht="15.75" hidden="false" customHeight="true" outlineLevel="0" collapsed="false">
      <c r="C291" s="193"/>
      <c r="D291" s="193"/>
    </row>
    <row r="292" customFormat="false" ht="15.75" hidden="false" customHeight="true" outlineLevel="0" collapsed="false">
      <c r="C292" s="193"/>
      <c r="D292" s="193"/>
    </row>
    <row r="293" customFormat="false" ht="15.75" hidden="false" customHeight="true" outlineLevel="0" collapsed="false">
      <c r="C293" s="193"/>
      <c r="D293" s="193"/>
    </row>
    <row r="294" customFormat="false" ht="15.75" hidden="false" customHeight="true" outlineLevel="0" collapsed="false">
      <c r="C294" s="193"/>
      <c r="D294" s="193"/>
    </row>
    <row r="295" customFormat="false" ht="15.75" hidden="false" customHeight="true" outlineLevel="0" collapsed="false">
      <c r="C295" s="193"/>
      <c r="D295" s="193"/>
    </row>
    <row r="296" customFormat="false" ht="15.75" hidden="false" customHeight="true" outlineLevel="0" collapsed="false">
      <c r="C296" s="193"/>
      <c r="D296" s="193"/>
    </row>
    <row r="297" customFormat="false" ht="15.75" hidden="false" customHeight="true" outlineLevel="0" collapsed="false">
      <c r="C297" s="193"/>
      <c r="D297" s="193"/>
    </row>
    <row r="298" customFormat="false" ht="15.75" hidden="false" customHeight="true" outlineLevel="0" collapsed="false">
      <c r="C298" s="193"/>
      <c r="D298" s="193"/>
    </row>
    <row r="299" customFormat="false" ht="15.75" hidden="false" customHeight="true" outlineLevel="0" collapsed="false">
      <c r="C299" s="193"/>
      <c r="D299" s="193"/>
    </row>
    <row r="300" customFormat="false" ht="15.75" hidden="false" customHeight="true" outlineLevel="0" collapsed="false">
      <c r="C300" s="193"/>
      <c r="D300" s="193"/>
    </row>
    <row r="301" customFormat="false" ht="15.75" hidden="false" customHeight="true" outlineLevel="0" collapsed="false">
      <c r="C301" s="193"/>
      <c r="D301" s="193"/>
    </row>
    <row r="302" customFormat="false" ht="15.75" hidden="false" customHeight="true" outlineLevel="0" collapsed="false">
      <c r="C302" s="193"/>
      <c r="D302" s="193"/>
    </row>
    <row r="303" customFormat="false" ht="15.75" hidden="false" customHeight="true" outlineLevel="0" collapsed="false">
      <c r="C303" s="193"/>
      <c r="D303" s="193"/>
    </row>
    <row r="304" customFormat="false" ht="15.75" hidden="false" customHeight="true" outlineLevel="0" collapsed="false">
      <c r="C304" s="193"/>
      <c r="D304" s="193"/>
    </row>
    <row r="305" customFormat="false" ht="15.75" hidden="false" customHeight="true" outlineLevel="0" collapsed="false">
      <c r="C305" s="193"/>
      <c r="D305" s="193"/>
    </row>
    <row r="306" customFormat="false" ht="15.75" hidden="false" customHeight="true" outlineLevel="0" collapsed="false">
      <c r="C306" s="193"/>
      <c r="D306" s="193"/>
    </row>
    <row r="307" customFormat="false" ht="15.75" hidden="false" customHeight="true" outlineLevel="0" collapsed="false">
      <c r="C307" s="193"/>
      <c r="D307" s="193"/>
    </row>
    <row r="308" customFormat="false" ht="15.75" hidden="false" customHeight="true" outlineLevel="0" collapsed="false">
      <c r="C308" s="193"/>
      <c r="D308" s="193"/>
    </row>
    <row r="309" customFormat="false" ht="15.75" hidden="false" customHeight="true" outlineLevel="0" collapsed="false">
      <c r="C309" s="193"/>
      <c r="D309" s="193"/>
    </row>
    <row r="310" customFormat="false" ht="15.75" hidden="false" customHeight="true" outlineLevel="0" collapsed="false">
      <c r="C310" s="193"/>
      <c r="D310" s="193"/>
    </row>
    <row r="311" customFormat="false" ht="15.75" hidden="false" customHeight="true" outlineLevel="0" collapsed="false">
      <c r="C311" s="193"/>
      <c r="D311" s="193"/>
    </row>
    <row r="312" customFormat="false" ht="15.75" hidden="false" customHeight="true" outlineLevel="0" collapsed="false">
      <c r="C312" s="193"/>
      <c r="D312" s="193"/>
    </row>
    <row r="313" customFormat="false" ht="15.75" hidden="false" customHeight="true" outlineLevel="0" collapsed="false">
      <c r="C313" s="193"/>
      <c r="D313" s="193"/>
    </row>
    <row r="314" customFormat="false" ht="15.75" hidden="false" customHeight="true" outlineLevel="0" collapsed="false">
      <c r="C314" s="193"/>
      <c r="D314" s="193"/>
    </row>
    <row r="315" customFormat="false" ht="15.75" hidden="false" customHeight="true" outlineLevel="0" collapsed="false">
      <c r="C315" s="193"/>
      <c r="D315" s="193"/>
    </row>
    <row r="316" customFormat="false" ht="15.75" hidden="false" customHeight="true" outlineLevel="0" collapsed="false">
      <c r="C316" s="193"/>
      <c r="D316" s="193"/>
    </row>
    <row r="317" customFormat="false" ht="15.75" hidden="false" customHeight="true" outlineLevel="0" collapsed="false">
      <c r="C317" s="193"/>
      <c r="D317" s="193"/>
    </row>
    <row r="318" customFormat="false" ht="15.75" hidden="false" customHeight="true" outlineLevel="0" collapsed="false">
      <c r="C318" s="193"/>
      <c r="D318" s="193"/>
    </row>
    <row r="319" customFormat="false" ht="15.75" hidden="false" customHeight="true" outlineLevel="0" collapsed="false">
      <c r="C319" s="193"/>
      <c r="D319" s="193"/>
    </row>
    <row r="320" customFormat="false" ht="15.75" hidden="false" customHeight="true" outlineLevel="0" collapsed="false">
      <c r="C320" s="193"/>
      <c r="D320" s="193"/>
    </row>
    <row r="321" customFormat="false" ht="15.75" hidden="false" customHeight="true" outlineLevel="0" collapsed="false">
      <c r="C321" s="193"/>
      <c r="D321" s="193"/>
    </row>
    <row r="322" customFormat="false" ht="15.75" hidden="false" customHeight="true" outlineLevel="0" collapsed="false">
      <c r="C322" s="193"/>
      <c r="D322" s="193"/>
    </row>
    <row r="323" customFormat="false" ht="15.75" hidden="false" customHeight="true" outlineLevel="0" collapsed="false">
      <c r="C323" s="193"/>
      <c r="D323" s="193"/>
    </row>
    <row r="324" customFormat="false" ht="15.75" hidden="false" customHeight="true" outlineLevel="0" collapsed="false">
      <c r="C324" s="193"/>
      <c r="D324" s="193"/>
    </row>
    <row r="325" customFormat="false" ht="15.75" hidden="false" customHeight="true" outlineLevel="0" collapsed="false">
      <c r="C325" s="193"/>
      <c r="D325" s="193"/>
    </row>
    <row r="326" customFormat="false" ht="15.75" hidden="false" customHeight="true" outlineLevel="0" collapsed="false">
      <c r="C326" s="193"/>
      <c r="D326" s="193"/>
    </row>
    <row r="327" customFormat="false" ht="15.75" hidden="false" customHeight="true" outlineLevel="0" collapsed="false">
      <c r="C327" s="193"/>
      <c r="D327" s="193"/>
    </row>
    <row r="328" customFormat="false" ht="15.75" hidden="false" customHeight="true" outlineLevel="0" collapsed="false">
      <c r="C328" s="193"/>
      <c r="D328" s="193"/>
    </row>
    <row r="329" customFormat="false" ht="15.75" hidden="false" customHeight="true" outlineLevel="0" collapsed="false">
      <c r="C329" s="193"/>
      <c r="D329" s="193"/>
    </row>
    <row r="330" customFormat="false" ht="15.75" hidden="false" customHeight="true" outlineLevel="0" collapsed="false">
      <c r="C330" s="193"/>
      <c r="D330" s="193"/>
    </row>
    <row r="331" customFormat="false" ht="15.75" hidden="false" customHeight="true" outlineLevel="0" collapsed="false">
      <c r="C331" s="193"/>
      <c r="D331" s="193"/>
    </row>
    <row r="332" customFormat="false" ht="15.75" hidden="false" customHeight="true" outlineLevel="0" collapsed="false">
      <c r="C332" s="193"/>
      <c r="D332" s="193"/>
    </row>
    <row r="333" customFormat="false" ht="15.75" hidden="false" customHeight="true" outlineLevel="0" collapsed="false">
      <c r="C333" s="193"/>
      <c r="D333" s="193"/>
    </row>
    <row r="334" customFormat="false" ht="15.75" hidden="false" customHeight="true" outlineLevel="0" collapsed="false">
      <c r="C334" s="193"/>
      <c r="D334" s="193"/>
    </row>
    <row r="335" customFormat="false" ht="15.75" hidden="false" customHeight="true" outlineLevel="0" collapsed="false">
      <c r="C335" s="193"/>
      <c r="D335" s="193"/>
    </row>
    <row r="336" customFormat="false" ht="15.75" hidden="false" customHeight="true" outlineLevel="0" collapsed="false">
      <c r="C336" s="193"/>
      <c r="D336" s="193"/>
    </row>
    <row r="337" customFormat="false" ht="15.75" hidden="false" customHeight="true" outlineLevel="0" collapsed="false">
      <c r="C337" s="193"/>
      <c r="D337" s="193"/>
    </row>
    <row r="338" customFormat="false" ht="15.75" hidden="false" customHeight="true" outlineLevel="0" collapsed="false">
      <c r="C338" s="193"/>
      <c r="D338" s="193"/>
    </row>
    <row r="339" customFormat="false" ht="15.75" hidden="false" customHeight="true" outlineLevel="0" collapsed="false">
      <c r="C339" s="193"/>
      <c r="D339" s="193"/>
    </row>
    <row r="340" customFormat="false" ht="15.75" hidden="false" customHeight="true" outlineLevel="0" collapsed="false">
      <c r="C340" s="193"/>
      <c r="D340" s="193"/>
    </row>
    <row r="341" customFormat="false" ht="15.75" hidden="false" customHeight="true" outlineLevel="0" collapsed="false">
      <c r="C341" s="193"/>
      <c r="D341" s="193"/>
    </row>
    <row r="342" customFormat="false" ht="15.75" hidden="false" customHeight="true" outlineLevel="0" collapsed="false">
      <c r="C342" s="193"/>
      <c r="D342" s="193"/>
    </row>
    <row r="343" customFormat="false" ht="15.75" hidden="false" customHeight="true" outlineLevel="0" collapsed="false">
      <c r="C343" s="193"/>
      <c r="D343" s="193"/>
    </row>
    <row r="344" customFormat="false" ht="15.75" hidden="false" customHeight="true" outlineLevel="0" collapsed="false">
      <c r="C344" s="193"/>
      <c r="D344" s="193"/>
    </row>
    <row r="345" customFormat="false" ht="15.75" hidden="false" customHeight="true" outlineLevel="0" collapsed="false">
      <c r="C345" s="193"/>
      <c r="D345" s="193"/>
    </row>
    <row r="346" customFormat="false" ht="15.75" hidden="false" customHeight="true" outlineLevel="0" collapsed="false">
      <c r="C346" s="193"/>
      <c r="D346" s="193"/>
    </row>
    <row r="347" customFormat="false" ht="15.75" hidden="false" customHeight="true" outlineLevel="0" collapsed="false">
      <c r="C347" s="193"/>
      <c r="D347" s="193"/>
    </row>
    <row r="348" customFormat="false" ht="15.75" hidden="false" customHeight="true" outlineLevel="0" collapsed="false">
      <c r="C348" s="193"/>
      <c r="D348" s="193"/>
    </row>
    <row r="349" customFormat="false" ht="15.75" hidden="false" customHeight="true" outlineLevel="0" collapsed="false">
      <c r="C349" s="193"/>
      <c r="D349" s="193"/>
    </row>
    <row r="350" customFormat="false" ht="15.75" hidden="false" customHeight="true" outlineLevel="0" collapsed="false">
      <c r="C350" s="193"/>
      <c r="D350" s="193"/>
    </row>
    <row r="351" customFormat="false" ht="15.75" hidden="false" customHeight="true" outlineLevel="0" collapsed="false">
      <c r="C351" s="193"/>
      <c r="D351" s="193"/>
    </row>
    <row r="352" customFormat="false" ht="15.75" hidden="false" customHeight="true" outlineLevel="0" collapsed="false">
      <c r="C352" s="193"/>
      <c r="D352" s="193"/>
    </row>
    <row r="353" customFormat="false" ht="15.75" hidden="false" customHeight="true" outlineLevel="0" collapsed="false">
      <c r="C353" s="193"/>
      <c r="D353" s="193"/>
    </row>
    <row r="354" customFormat="false" ht="15.75" hidden="false" customHeight="true" outlineLevel="0" collapsed="false">
      <c r="C354" s="193"/>
      <c r="D354" s="193"/>
    </row>
    <row r="355" customFormat="false" ht="15.75" hidden="false" customHeight="true" outlineLevel="0" collapsed="false">
      <c r="C355" s="193"/>
      <c r="D355" s="193"/>
    </row>
    <row r="356" customFormat="false" ht="15.75" hidden="false" customHeight="true" outlineLevel="0" collapsed="false">
      <c r="C356" s="193"/>
      <c r="D356" s="193"/>
    </row>
    <row r="357" customFormat="false" ht="15.75" hidden="false" customHeight="true" outlineLevel="0" collapsed="false">
      <c r="C357" s="193"/>
      <c r="D357" s="193"/>
    </row>
    <row r="358" customFormat="false" ht="15.75" hidden="false" customHeight="true" outlineLevel="0" collapsed="false">
      <c r="C358" s="193"/>
      <c r="D358" s="193"/>
    </row>
    <row r="359" customFormat="false" ht="15.75" hidden="false" customHeight="true" outlineLevel="0" collapsed="false">
      <c r="C359" s="193"/>
      <c r="D359" s="193"/>
    </row>
    <row r="360" customFormat="false" ht="15.75" hidden="false" customHeight="true" outlineLevel="0" collapsed="false">
      <c r="C360" s="193"/>
      <c r="D360" s="193"/>
    </row>
    <row r="361" customFormat="false" ht="15.75" hidden="false" customHeight="true" outlineLevel="0" collapsed="false">
      <c r="C361" s="193"/>
      <c r="D361" s="193"/>
    </row>
    <row r="362" customFormat="false" ht="15.75" hidden="false" customHeight="true" outlineLevel="0" collapsed="false">
      <c r="C362" s="193"/>
      <c r="D362" s="193"/>
    </row>
    <row r="363" customFormat="false" ht="15.75" hidden="false" customHeight="true" outlineLevel="0" collapsed="false">
      <c r="C363" s="193"/>
      <c r="D363" s="193"/>
    </row>
    <row r="364" customFormat="false" ht="15.75" hidden="false" customHeight="true" outlineLevel="0" collapsed="false">
      <c r="C364" s="193"/>
      <c r="D364" s="193"/>
    </row>
    <row r="365" customFormat="false" ht="15.75" hidden="false" customHeight="true" outlineLevel="0" collapsed="false">
      <c r="C365" s="193"/>
      <c r="D365" s="193"/>
    </row>
    <row r="366" customFormat="false" ht="15.75" hidden="false" customHeight="true" outlineLevel="0" collapsed="false">
      <c r="C366" s="193"/>
      <c r="D366" s="193"/>
    </row>
    <row r="367" customFormat="false" ht="15.75" hidden="false" customHeight="true" outlineLevel="0" collapsed="false">
      <c r="C367" s="193"/>
      <c r="D367" s="193"/>
    </row>
    <row r="368" customFormat="false" ht="15.75" hidden="false" customHeight="true" outlineLevel="0" collapsed="false">
      <c r="C368" s="193"/>
      <c r="D368" s="193"/>
    </row>
    <row r="369" customFormat="false" ht="15.75" hidden="false" customHeight="true" outlineLevel="0" collapsed="false">
      <c r="C369" s="193"/>
      <c r="D369" s="193"/>
    </row>
    <row r="370" customFormat="false" ht="15.75" hidden="false" customHeight="true" outlineLevel="0" collapsed="false">
      <c r="C370" s="193"/>
      <c r="D370" s="193"/>
    </row>
    <row r="371" customFormat="false" ht="15.75" hidden="false" customHeight="true" outlineLevel="0" collapsed="false">
      <c r="C371" s="193"/>
      <c r="D371" s="193"/>
    </row>
    <row r="372" customFormat="false" ht="15.75" hidden="false" customHeight="true" outlineLevel="0" collapsed="false">
      <c r="C372" s="193"/>
      <c r="D372" s="193"/>
    </row>
    <row r="373" customFormat="false" ht="15.75" hidden="false" customHeight="true" outlineLevel="0" collapsed="false">
      <c r="C373" s="193"/>
      <c r="D373" s="193"/>
    </row>
    <row r="374" customFormat="false" ht="15.75" hidden="false" customHeight="true" outlineLevel="0" collapsed="false">
      <c r="C374" s="193"/>
      <c r="D374" s="193"/>
    </row>
    <row r="375" customFormat="false" ht="15.75" hidden="false" customHeight="true" outlineLevel="0" collapsed="false">
      <c r="C375" s="193"/>
      <c r="D375" s="193"/>
    </row>
    <row r="376" customFormat="false" ht="15.75" hidden="false" customHeight="true" outlineLevel="0" collapsed="false">
      <c r="C376" s="193"/>
      <c r="D376" s="193"/>
    </row>
    <row r="377" customFormat="false" ht="15.75" hidden="false" customHeight="true" outlineLevel="0" collapsed="false">
      <c r="C377" s="193"/>
      <c r="D377" s="193"/>
    </row>
    <row r="378" customFormat="false" ht="15.75" hidden="false" customHeight="true" outlineLevel="0" collapsed="false">
      <c r="C378" s="193"/>
      <c r="D378" s="193"/>
    </row>
    <row r="379" customFormat="false" ht="15.75" hidden="false" customHeight="true" outlineLevel="0" collapsed="false">
      <c r="C379" s="193"/>
      <c r="D379" s="193"/>
    </row>
    <row r="380" customFormat="false" ht="15.75" hidden="false" customHeight="true" outlineLevel="0" collapsed="false">
      <c r="C380" s="193"/>
      <c r="D380" s="193"/>
    </row>
    <row r="381" customFormat="false" ht="15.75" hidden="false" customHeight="true" outlineLevel="0" collapsed="false">
      <c r="C381" s="193"/>
      <c r="D381" s="193"/>
    </row>
    <row r="382" customFormat="false" ht="15.75" hidden="false" customHeight="true" outlineLevel="0" collapsed="false">
      <c r="C382" s="193"/>
      <c r="D382" s="193"/>
    </row>
    <row r="383" customFormat="false" ht="15.75" hidden="false" customHeight="true" outlineLevel="0" collapsed="false">
      <c r="C383" s="193"/>
      <c r="D383" s="193"/>
    </row>
    <row r="384" customFormat="false" ht="15.75" hidden="false" customHeight="true" outlineLevel="0" collapsed="false">
      <c r="C384" s="193"/>
      <c r="D384" s="193"/>
    </row>
    <row r="385" customFormat="false" ht="15.75" hidden="false" customHeight="true" outlineLevel="0" collapsed="false">
      <c r="C385" s="193"/>
      <c r="D385" s="193"/>
    </row>
    <row r="386" customFormat="false" ht="15.75" hidden="false" customHeight="true" outlineLevel="0" collapsed="false">
      <c r="C386" s="193"/>
      <c r="D386" s="193"/>
    </row>
    <row r="387" customFormat="false" ht="15.75" hidden="false" customHeight="true" outlineLevel="0" collapsed="false">
      <c r="C387" s="193"/>
      <c r="D387" s="193"/>
    </row>
    <row r="388" customFormat="false" ht="15.75" hidden="false" customHeight="true" outlineLevel="0" collapsed="false">
      <c r="C388" s="193"/>
      <c r="D388" s="193"/>
    </row>
    <row r="389" customFormat="false" ht="15.75" hidden="false" customHeight="true" outlineLevel="0" collapsed="false">
      <c r="C389" s="193"/>
      <c r="D389" s="193"/>
    </row>
    <row r="390" customFormat="false" ht="15.75" hidden="false" customHeight="true" outlineLevel="0" collapsed="false">
      <c r="C390" s="193"/>
      <c r="D390" s="193"/>
    </row>
    <row r="391" customFormat="false" ht="15.75" hidden="false" customHeight="true" outlineLevel="0" collapsed="false">
      <c r="C391" s="193"/>
      <c r="D391" s="193"/>
    </row>
    <row r="392" customFormat="false" ht="15.75" hidden="false" customHeight="true" outlineLevel="0" collapsed="false">
      <c r="C392" s="193"/>
      <c r="D392" s="193"/>
    </row>
    <row r="393" customFormat="false" ht="15.75" hidden="false" customHeight="true" outlineLevel="0" collapsed="false">
      <c r="C393" s="193"/>
      <c r="D393" s="193"/>
    </row>
    <row r="394" customFormat="false" ht="15.75" hidden="false" customHeight="true" outlineLevel="0" collapsed="false">
      <c r="C394" s="193"/>
      <c r="D394" s="193"/>
    </row>
    <row r="395" customFormat="false" ht="15.75" hidden="false" customHeight="true" outlineLevel="0" collapsed="false">
      <c r="C395" s="193"/>
      <c r="D395" s="193"/>
    </row>
    <row r="396" customFormat="false" ht="15.75" hidden="false" customHeight="true" outlineLevel="0" collapsed="false">
      <c r="C396" s="193"/>
      <c r="D396" s="193"/>
    </row>
    <row r="397" customFormat="false" ht="15.75" hidden="false" customHeight="true" outlineLevel="0" collapsed="false">
      <c r="C397" s="193"/>
      <c r="D397" s="193"/>
    </row>
    <row r="398" customFormat="false" ht="15.75" hidden="false" customHeight="true" outlineLevel="0" collapsed="false">
      <c r="C398" s="193"/>
      <c r="D398" s="193"/>
    </row>
    <row r="399" customFormat="false" ht="15.75" hidden="false" customHeight="true" outlineLevel="0" collapsed="false">
      <c r="C399" s="193"/>
      <c r="D399" s="193"/>
    </row>
    <row r="400" customFormat="false" ht="15.75" hidden="false" customHeight="true" outlineLevel="0" collapsed="false">
      <c r="C400" s="193"/>
      <c r="D400" s="193"/>
    </row>
    <row r="401" customFormat="false" ht="15.75" hidden="false" customHeight="true" outlineLevel="0" collapsed="false">
      <c r="C401" s="193"/>
      <c r="D401" s="193"/>
    </row>
    <row r="402" customFormat="false" ht="15.75" hidden="false" customHeight="true" outlineLevel="0" collapsed="false">
      <c r="C402" s="193"/>
      <c r="D402" s="193"/>
    </row>
    <row r="403" customFormat="false" ht="15.75" hidden="false" customHeight="true" outlineLevel="0" collapsed="false">
      <c r="C403" s="193"/>
      <c r="D403" s="193"/>
    </row>
    <row r="404" customFormat="false" ht="15.75" hidden="false" customHeight="true" outlineLevel="0" collapsed="false">
      <c r="C404" s="193"/>
      <c r="D404" s="193"/>
    </row>
    <row r="405" customFormat="false" ht="15.75" hidden="false" customHeight="true" outlineLevel="0" collapsed="false">
      <c r="C405" s="193"/>
      <c r="D405" s="193"/>
    </row>
    <row r="406" customFormat="false" ht="15.75" hidden="false" customHeight="true" outlineLevel="0" collapsed="false">
      <c r="C406" s="193"/>
      <c r="D406" s="193"/>
    </row>
    <row r="407" customFormat="false" ht="15.75" hidden="false" customHeight="true" outlineLevel="0" collapsed="false">
      <c r="C407" s="193"/>
      <c r="D407" s="193"/>
    </row>
    <row r="408" customFormat="false" ht="15.75" hidden="false" customHeight="true" outlineLevel="0" collapsed="false">
      <c r="C408" s="193"/>
      <c r="D408" s="193"/>
    </row>
    <row r="409" customFormat="false" ht="15.75" hidden="false" customHeight="true" outlineLevel="0" collapsed="false">
      <c r="C409" s="193"/>
      <c r="D409" s="193"/>
    </row>
    <row r="410" customFormat="false" ht="15.75" hidden="false" customHeight="true" outlineLevel="0" collapsed="false">
      <c r="C410" s="193"/>
      <c r="D410" s="193"/>
    </row>
    <row r="411" customFormat="false" ht="15.75" hidden="false" customHeight="true" outlineLevel="0" collapsed="false">
      <c r="C411" s="193"/>
      <c r="D411" s="193"/>
    </row>
    <row r="412" customFormat="false" ht="15.75" hidden="false" customHeight="true" outlineLevel="0" collapsed="false">
      <c r="C412" s="193"/>
      <c r="D412" s="193"/>
    </row>
    <row r="413" customFormat="false" ht="15.75" hidden="false" customHeight="true" outlineLevel="0" collapsed="false">
      <c r="C413" s="193"/>
      <c r="D413" s="193"/>
    </row>
    <row r="414" customFormat="false" ht="15.75" hidden="false" customHeight="true" outlineLevel="0" collapsed="false">
      <c r="C414" s="193"/>
      <c r="D414" s="193"/>
    </row>
    <row r="415" customFormat="false" ht="15.75" hidden="false" customHeight="true" outlineLevel="0" collapsed="false">
      <c r="C415" s="193"/>
      <c r="D415" s="193"/>
    </row>
    <row r="416" customFormat="false" ht="15.75" hidden="false" customHeight="true" outlineLevel="0" collapsed="false">
      <c r="C416" s="193"/>
      <c r="D416" s="193"/>
    </row>
    <row r="417" customFormat="false" ht="15.75" hidden="false" customHeight="true" outlineLevel="0" collapsed="false">
      <c r="C417" s="193"/>
      <c r="D417" s="193"/>
    </row>
    <row r="418" customFormat="false" ht="15.75" hidden="false" customHeight="true" outlineLevel="0" collapsed="false">
      <c r="C418" s="193"/>
      <c r="D418" s="193"/>
    </row>
    <row r="419" customFormat="false" ht="15.75" hidden="false" customHeight="true" outlineLevel="0" collapsed="false">
      <c r="C419" s="193"/>
      <c r="D419" s="193"/>
    </row>
    <row r="420" customFormat="false" ht="15.75" hidden="false" customHeight="true" outlineLevel="0" collapsed="false">
      <c r="C420" s="193"/>
      <c r="D420" s="193"/>
    </row>
    <row r="421" customFormat="false" ht="15.75" hidden="false" customHeight="true" outlineLevel="0" collapsed="false">
      <c r="C421" s="193"/>
      <c r="D421" s="193"/>
    </row>
    <row r="422" customFormat="false" ht="15.75" hidden="false" customHeight="true" outlineLevel="0" collapsed="false">
      <c r="C422" s="193"/>
      <c r="D422" s="193"/>
    </row>
    <row r="423" customFormat="false" ht="15.75" hidden="false" customHeight="true" outlineLevel="0" collapsed="false">
      <c r="C423" s="193"/>
      <c r="D423" s="193"/>
    </row>
    <row r="424" customFormat="false" ht="15.75" hidden="false" customHeight="true" outlineLevel="0" collapsed="false">
      <c r="C424" s="193"/>
      <c r="D424" s="193"/>
    </row>
    <row r="425" customFormat="false" ht="15.75" hidden="false" customHeight="true" outlineLevel="0" collapsed="false">
      <c r="C425" s="193"/>
      <c r="D425" s="193"/>
    </row>
    <row r="426" customFormat="false" ht="15.75" hidden="false" customHeight="true" outlineLevel="0" collapsed="false">
      <c r="C426" s="193"/>
      <c r="D426" s="193"/>
    </row>
    <row r="427" customFormat="false" ht="15.75" hidden="false" customHeight="true" outlineLevel="0" collapsed="false">
      <c r="C427" s="193"/>
      <c r="D427" s="193"/>
    </row>
    <row r="428" customFormat="false" ht="15.75" hidden="false" customHeight="true" outlineLevel="0" collapsed="false">
      <c r="C428" s="193"/>
      <c r="D428" s="193"/>
    </row>
    <row r="429" customFormat="false" ht="15.75" hidden="false" customHeight="true" outlineLevel="0" collapsed="false">
      <c r="C429" s="193"/>
      <c r="D429" s="193"/>
    </row>
    <row r="430" customFormat="false" ht="15.75" hidden="false" customHeight="true" outlineLevel="0" collapsed="false">
      <c r="C430" s="193"/>
      <c r="D430" s="193"/>
    </row>
    <row r="431" customFormat="false" ht="15.75" hidden="false" customHeight="true" outlineLevel="0" collapsed="false">
      <c r="C431" s="193"/>
      <c r="D431" s="193"/>
    </row>
    <row r="432" customFormat="false" ht="15.75" hidden="false" customHeight="true" outlineLevel="0" collapsed="false">
      <c r="C432" s="193"/>
      <c r="D432" s="193"/>
    </row>
    <row r="433" customFormat="false" ht="15.75" hidden="false" customHeight="true" outlineLevel="0" collapsed="false">
      <c r="C433" s="193"/>
      <c r="D433" s="193"/>
    </row>
    <row r="434" customFormat="false" ht="15.75" hidden="false" customHeight="true" outlineLevel="0" collapsed="false">
      <c r="C434" s="193"/>
      <c r="D434" s="193"/>
    </row>
    <row r="435" customFormat="false" ht="15.75" hidden="false" customHeight="true" outlineLevel="0" collapsed="false">
      <c r="C435" s="193"/>
      <c r="D435" s="193"/>
    </row>
    <row r="436" customFormat="false" ht="15.75" hidden="false" customHeight="true" outlineLevel="0" collapsed="false">
      <c r="C436" s="193"/>
      <c r="D436" s="193"/>
    </row>
    <row r="437" customFormat="false" ht="15.75" hidden="false" customHeight="true" outlineLevel="0" collapsed="false">
      <c r="C437" s="193"/>
      <c r="D437" s="193"/>
    </row>
    <row r="438" customFormat="false" ht="15.75" hidden="false" customHeight="true" outlineLevel="0" collapsed="false">
      <c r="C438" s="193"/>
      <c r="D438" s="193"/>
    </row>
    <row r="439" customFormat="false" ht="15.75" hidden="false" customHeight="true" outlineLevel="0" collapsed="false">
      <c r="C439" s="193"/>
      <c r="D439" s="193"/>
    </row>
    <row r="440" customFormat="false" ht="15.75" hidden="false" customHeight="true" outlineLevel="0" collapsed="false">
      <c r="C440" s="193"/>
      <c r="D440" s="193"/>
    </row>
    <row r="441" customFormat="false" ht="15.75" hidden="false" customHeight="true" outlineLevel="0" collapsed="false">
      <c r="C441" s="193"/>
      <c r="D441" s="193"/>
    </row>
    <row r="442" customFormat="false" ht="15.75" hidden="false" customHeight="true" outlineLevel="0" collapsed="false">
      <c r="C442" s="193"/>
      <c r="D442" s="193"/>
    </row>
    <row r="443" customFormat="false" ht="15.75" hidden="false" customHeight="true" outlineLevel="0" collapsed="false">
      <c r="C443" s="193"/>
      <c r="D443" s="193"/>
    </row>
    <row r="444" customFormat="false" ht="15.75" hidden="false" customHeight="true" outlineLevel="0" collapsed="false">
      <c r="C444" s="193"/>
      <c r="D444" s="193"/>
    </row>
    <row r="445" customFormat="false" ht="15.75" hidden="false" customHeight="true" outlineLevel="0" collapsed="false">
      <c r="C445" s="193"/>
      <c r="D445" s="193"/>
    </row>
    <row r="446" customFormat="false" ht="15.75" hidden="false" customHeight="true" outlineLevel="0" collapsed="false">
      <c r="C446" s="193"/>
      <c r="D446" s="193"/>
    </row>
    <row r="447" customFormat="false" ht="15.75" hidden="false" customHeight="true" outlineLevel="0" collapsed="false">
      <c r="C447" s="193"/>
      <c r="D447" s="193"/>
    </row>
    <row r="448" customFormat="false" ht="15.75" hidden="false" customHeight="true" outlineLevel="0" collapsed="false">
      <c r="C448" s="193"/>
      <c r="D448" s="193"/>
    </row>
    <row r="449" customFormat="false" ht="15.75" hidden="false" customHeight="true" outlineLevel="0" collapsed="false">
      <c r="C449" s="193"/>
      <c r="D449" s="193"/>
    </row>
    <row r="450" customFormat="false" ht="15.75" hidden="false" customHeight="true" outlineLevel="0" collapsed="false">
      <c r="C450" s="193"/>
      <c r="D450" s="193"/>
    </row>
    <row r="451" customFormat="false" ht="15.75" hidden="false" customHeight="true" outlineLevel="0" collapsed="false">
      <c r="C451" s="193"/>
      <c r="D451" s="193"/>
    </row>
    <row r="452" customFormat="false" ht="15.75" hidden="false" customHeight="true" outlineLevel="0" collapsed="false">
      <c r="C452" s="193"/>
      <c r="D452" s="193"/>
    </row>
    <row r="453" customFormat="false" ht="15.75" hidden="false" customHeight="true" outlineLevel="0" collapsed="false">
      <c r="C453" s="193"/>
      <c r="D453" s="193"/>
    </row>
    <row r="454" customFormat="false" ht="15.75" hidden="false" customHeight="true" outlineLevel="0" collapsed="false">
      <c r="C454" s="193"/>
      <c r="D454" s="193"/>
    </row>
    <row r="455" customFormat="false" ht="15.75" hidden="false" customHeight="true" outlineLevel="0" collapsed="false">
      <c r="C455" s="193"/>
      <c r="D455" s="193"/>
    </row>
    <row r="456" customFormat="false" ht="15.75" hidden="false" customHeight="true" outlineLevel="0" collapsed="false">
      <c r="C456" s="193"/>
      <c r="D456" s="193"/>
    </row>
    <row r="457" customFormat="false" ht="15.75" hidden="false" customHeight="true" outlineLevel="0" collapsed="false">
      <c r="C457" s="193"/>
      <c r="D457" s="193"/>
    </row>
    <row r="458" customFormat="false" ht="15.75" hidden="false" customHeight="true" outlineLevel="0" collapsed="false">
      <c r="C458" s="193"/>
      <c r="D458" s="193"/>
    </row>
    <row r="459" customFormat="false" ht="15.75" hidden="false" customHeight="true" outlineLevel="0" collapsed="false">
      <c r="C459" s="193"/>
      <c r="D459" s="193"/>
    </row>
    <row r="460" customFormat="false" ht="15.75" hidden="false" customHeight="true" outlineLevel="0" collapsed="false">
      <c r="C460" s="193"/>
      <c r="D460" s="193"/>
    </row>
    <row r="461" customFormat="false" ht="15.75" hidden="false" customHeight="true" outlineLevel="0" collapsed="false">
      <c r="C461" s="193"/>
      <c r="D461" s="193"/>
    </row>
    <row r="462" customFormat="false" ht="15.75" hidden="false" customHeight="true" outlineLevel="0" collapsed="false">
      <c r="C462" s="193"/>
      <c r="D462" s="193"/>
    </row>
    <row r="463" customFormat="false" ht="15.75" hidden="false" customHeight="true" outlineLevel="0" collapsed="false">
      <c r="C463" s="193"/>
      <c r="D463" s="193"/>
    </row>
    <row r="464" customFormat="false" ht="15.75" hidden="false" customHeight="true" outlineLevel="0" collapsed="false">
      <c r="C464" s="193"/>
      <c r="D464" s="193"/>
    </row>
    <row r="465" customFormat="false" ht="15.75" hidden="false" customHeight="true" outlineLevel="0" collapsed="false">
      <c r="C465" s="193"/>
      <c r="D465" s="193"/>
    </row>
    <row r="466" customFormat="false" ht="15.75" hidden="false" customHeight="true" outlineLevel="0" collapsed="false">
      <c r="C466" s="193"/>
      <c r="D466" s="193"/>
    </row>
    <row r="467" customFormat="false" ht="15.75" hidden="false" customHeight="true" outlineLevel="0" collapsed="false">
      <c r="C467" s="193"/>
      <c r="D467" s="193"/>
    </row>
    <row r="468" customFormat="false" ht="15.75" hidden="false" customHeight="true" outlineLevel="0" collapsed="false">
      <c r="C468" s="193"/>
      <c r="D468" s="193"/>
    </row>
    <row r="469" customFormat="false" ht="15.75" hidden="false" customHeight="true" outlineLevel="0" collapsed="false">
      <c r="C469" s="193"/>
      <c r="D469" s="193"/>
    </row>
    <row r="470" customFormat="false" ht="15.75" hidden="false" customHeight="true" outlineLevel="0" collapsed="false">
      <c r="C470" s="193"/>
      <c r="D470" s="193"/>
    </row>
    <row r="471" customFormat="false" ht="15.75" hidden="false" customHeight="true" outlineLevel="0" collapsed="false">
      <c r="C471" s="193"/>
      <c r="D471" s="193"/>
    </row>
    <row r="472" customFormat="false" ht="15.75" hidden="false" customHeight="true" outlineLevel="0" collapsed="false">
      <c r="C472" s="193"/>
      <c r="D472" s="193"/>
    </row>
    <row r="473" customFormat="false" ht="15.75" hidden="false" customHeight="true" outlineLevel="0" collapsed="false">
      <c r="C473" s="193"/>
      <c r="D473" s="193"/>
    </row>
    <row r="474" customFormat="false" ht="15.75" hidden="false" customHeight="true" outlineLevel="0" collapsed="false">
      <c r="C474" s="193"/>
      <c r="D474" s="193"/>
    </row>
    <row r="475" customFormat="false" ht="15.75" hidden="false" customHeight="true" outlineLevel="0" collapsed="false">
      <c r="C475" s="193"/>
      <c r="D475" s="193"/>
    </row>
    <row r="476" customFormat="false" ht="15.75" hidden="false" customHeight="true" outlineLevel="0" collapsed="false">
      <c r="C476" s="193"/>
      <c r="D476" s="193"/>
    </row>
    <row r="477" customFormat="false" ht="15.75" hidden="false" customHeight="true" outlineLevel="0" collapsed="false">
      <c r="C477" s="193"/>
      <c r="D477" s="193"/>
    </row>
    <row r="478" customFormat="false" ht="15.75" hidden="false" customHeight="true" outlineLevel="0" collapsed="false">
      <c r="C478" s="193"/>
      <c r="D478" s="193"/>
    </row>
    <row r="479" customFormat="false" ht="15.75" hidden="false" customHeight="true" outlineLevel="0" collapsed="false">
      <c r="C479" s="193"/>
      <c r="D479" s="193"/>
    </row>
    <row r="480" customFormat="false" ht="15.75" hidden="false" customHeight="true" outlineLevel="0" collapsed="false">
      <c r="C480" s="193"/>
      <c r="D480" s="193"/>
    </row>
    <row r="481" customFormat="false" ht="15.75" hidden="false" customHeight="true" outlineLevel="0" collapsed="false">
      <c r="C481" s="193"/>
      <c r="D481" s="193"/>
    </row>
    <row r="482" customFormat="false" ht="15.75" hidden="false" customHeight="true" outlineLevel="0" collapsed="false">
      <c r="C482" s="193"/>
      <c r="D482" s="193"/>
    </row>
    <row r="483" customFormat="false" ht="15.75" hidden="false" customHeight="true" outlineLevel="0" collapsed="false">
      <c r="C483" s="193"/>
      <c r="D483" s="193"/>
    </row>
    <row r="484" customFormat="false" ht="15.75" hidden="false" customHeight="true" outlineLevel="0" collapsed="false">
      <c r="C484" s="193"/>
      <c r="D484" s="193"/>
    </row>
    <row r="485" customFormat="false" ht="15.75" hidden="false" customHeight="true" outlineLevel="0" collapsed="false">
      <c r="C485" s="193"/>
      <c r="D485" s="193"/>
    </row>
    <row r="486" customFormat="false" ht="15.75" hidden="false" customHeight="true" outlineLevel="0" collapsed="false">
      <c r="C486" s="193"/>
      <c r="D486" s="193"/>
    </row>
    <row r="487" customFormat="false" ht="15.75" hidden="false" customHeight="true" outlineLevel="0" collapsed="false">
      <c r="C487" s="193"/>
      <c r="D487" s="193"/>
    </row>
    <row r="488" customFormat="false" ht="15.75" hidden="false" customHeight="true" outlineLevel="0" collapsed="false">
      <c r="C488" s="193"/>
      <c r="D488" s="193"/>
    </row>
    <row r="489" customFormat="false" ht="15.75" hidden="false" customHeight="true" outlineLevel="0" collapsed="false">
      <c r="C489" s="193"/>
      <c r="D489" s="193"/>
    </row>
    <row r="490" customFormat="false" ht="15.75" hidden="false" customHeight="true" outlineLevel="0" collapsed="false">
      <c r="C490" s="193"/>
      <c r="D490" s="193"/>
    </row>
    <row r="491" customFormat="false" ht="15.75" hidden="false" customHeight="true" outlineLevel="0" collapsed="false">
      <c r="C491" s="193"/>
      <c r="D491" s="193"/>
    </row>
    <row r="492" customFormat="false" ht="15.75" hidden="false" customHeight="true" outlineLevel="0" collapsed="false">
      <c r="C492" s="193"/>
      <c r="D492" s="193"/>
    </row>
    <row r="493" customFormat="false" ht="15.75" hidden="false" customHeight="true" outlineLevel="0" collapsed="false">
      <c r="C493" s="193"/>
      <c r="D493" s="193"/>
    </row>
    <row r="494" customFormat="false" ht="15.75" hidden="false" customHeight="true" outlineLevel="0" collapsed="false">
      <c r="C494" s="193"/>
      <c r="D494" s="193"/>
    </row>
    <row r="495" customFormat="false" ht="15.75" hidden="false" customHeight="true" outlineLevel="0" collapsed="false">
      <c r="C495" s="193"/>
      <c r="D495" s="193"/>
    </row>
    <row r="496" customFormat="false" ht="15.75" hidden="false" customHeight="true" outlineLevel="0" collapsed="false">
      <c r="C496" s="193"/>
      <c r="D496" s="193"/>
    </row>
    <row r="497" customFormat="false" ht="15.75" hidden="false" customHeight="true" outlineLevel="0" collapsed="false">
      <c r="C497" s="193"/>
      <c r="D497" s="193"/>
    </row>
    <row r="498" customFormat="false" ht="15.75" hidden="false" customHeight="true" outlineLevel="0" collapsed="false">
      <c r="C498" s="193"/>
      <c r="D498" s="193"/>
    </row>
    <row r="499" customFormat="false" ht="15.75" hidden="false" customHeight="true" outlineLevel="0" collapsed="false">
      <c r="C499" s="193"/>
      <c r="D499" s="193"/>
    </row>
    <row r="500" customFormat="false" ht="15.75" hidden="false" customHeight="true" outlineLevel="0" collapsed="false">
      <c r="C500" s="193"/>
      <c r="D500" s="193"/>
    </row>
    <row r="501" customFormat="false" ht="15.75" hidden="false" customHeight="true" outlineLevel="0" collapsed="false">
      <c r="C501" s="193"/>
      <c r="D501" s="193"/>
    </row>
    <row r="502" customFormat="false" ht="15.75" hidden="false" customHeight="true" outlineLevel="0" collapsed="false">
      <c r="C502" s="193"/>
      <c r="D502" s="193"/>
    </row>
    <row r="503" customFormat="false" ht="15.75" hidden="false" customHeight="true" outlineLevel="0" collapsed="false">
      <c r="C503" s="193"/>
      <c r="D503" s="193"/>
    </row>
    <row r="504" customFormat="false" ht="15.75" hidden="false" customHeight="true" outlineLevel="0" collapsed="false">
      <c r="C504" s="193"/>
      <c r="D504" s="193"/>
    </row>
    <row r="505" customFormat="false" ht="15.75" hidden="false" customHeight="true" outlineLevel="0" collapsed="false">
      <c r="C505" s="193"/>
      <c r="D505" s="193"/>
    </row>
    <row r="506" customFormat="false" ht="15.75" hidden="false" customHeight="true" outlineLevel="0" collapsed="false">
      <c r="C506" s="193"/>
      <c r="D506" s="193"/>
    </row>
    <row r="507" customFormat="false" ht="15.75" hidden="false" customHeight="true" outlineLevel="0" collapsed="false">
      <c r="C507" s="193"/>
      <c r="D507" s="193"/>
    </row>
    <row r="508" customFormat="false" ht="15.75" hidden="false" customHeight="true" outlineLevel="0" collapsed="false">
      <c r="C508" s="193"/>
      <c r="D508" s="193"/>
    </row>
    <row r="509" customFormat="false" ht="15.75" hidden="false" customHeight="true" outlineLevel="0" collapsed="false">
      <c r="C509" s="193"/>
      <c r="D509" s="193"/>
    </row>
    <row r="510" customFormat="false" ht="15.75" hidden="false" customHeight="true" outlineLevel="0" collapsed="false">
      <c r="C510" s="193"/>
      <c r="D510" s="193"/>
    </row>
    <row r="511" customFormat="false" ht="15.75" hidden="false" customHeight="true" outlineLevel="0" collapsed="false">
      <c r="C511" s="193"/>
      <c r="D511" s="193"/>
    </row>
    <row r="512" customFormat="false" ht="15.75" hidden="false" customHeight="true" outlineLevel="0" collapsed="false">
      <c r="C512" s="193"/>
      <c r="D512" s="193"/>
    </row>
    <row r="513" customFormat="false" ht="15.75" hidden="false" customHeight="true" outlineLevel="0" collapsed="false">
      <c r="C513" s="193"/>
      <c r="D513" s="193"/>
    </row>
    <row r="514" customFormat="false" ht="15.75" hidden="false" customHeight="true" outlineLevel="0" collapsed="false">
      <c r="C514" s="193"/>
      <c r="D514" s="193"/>
    </row>
    <row r="515" customFormat="false" ht="15.75" hidden="false" customHeight="true" outlineLevel="0" collapsed="false">
      <c r="C515" s="193"/>
      <c r="D515" s="193"/>
    </row>
    <row r="516" customFormat="false" ht="15.75" hidden="false" customHeight="true" outlineLevel="0" collapsed="false">
      <c r="C516" s="193"/>
      <c r="D516" s="193"/>
    </row>
    <row r="517" customFormat="false" ht="15.75" hidden="false" customHeight="true" outlineLevel="0" collapsed="false">
      <c r="C517" s="193"/>
      <c r="D517" s="193"/>
    </row>
    <row r="518" customFormat="false" ht="15.75" hidden="false" customHeight="true" outlineLevel="0" collapsed="false">
      <c r="C518" s="193"/>
      <c r="D518" s="193"/>
    </row>
    <row r="519" customFormat="false" ht="15.75" hidden="false" customHeight="true" outlineLevel="0" collapsed="false">
      <c r="C519" s="193"/>
      <c r="D519" s="193"/>
    </row>
    <row r="520" customFormat="false" ht="15.75" hidden="false" customHeight="true" outlineLevel="0" collapsed="false">
      <c r="C520" s="193"/>
      <c r="D520" s="193"/>
    </row>
    <row r="521" customFormat="false" ht="15.75" hidden="false" customHeight="true" outlineLevel="0" collapsed="false">
      <c r="C521" s="193"/>
      <c r="D521" s="193"/>
    </row>
    <row r="522" customFormat="false" ht="15.75" hidden="false" customHeight="true" outlineLevel="0" collapsed="false">
      <c r="C522" s="193"/>
      <c r="D522" s="193"/>
    </row>
    <row r="523" customFormat="false" ht="15.75" hidden="false" customHeight="true" outlineLevel="0" collapsed="false">
      <c r="C523" s="193"/>
      <c r="D523" s="193"/>
    </row>
    <row r="524" customFormat="false" ht="15.75" hidden="false" customHeight="true" outlineLevel="0" collapsed="false">
      <c r="C524" s="193"/>
      <c r="D524" s="193"/>
    </row>
    <row r="525" customFormat="false" ht="15.75" hidden="false" customHeight="true" outlineLevel="0" collapsed="false">
      <c r="C525" s="193"/>
      <c r="D525" s="193"/>
    </row>
    <row r="526" customFormat="false" ht="15.75" hidden="false" customHeight="true" outlineLevel="0" collapsed="false">
      <c r="C526" s="193"/>
      <c r="D526" s="193"/>
    </row>
    <row r="527" customFormat="false" ht="15.75" hidden="false" customHeight="true" outlineLevel="0" collapsed="false">
      <c r="C527" s="193"/>
      <c r="D527" s="193"/>
    </row>
    <row r="528" customFormat="false" ht="15.75" hidden="false" customHeight="true" outlineLevel="0" collapsed="false">
      <c r="C528" s="193"/>
      <c r="D528" s="193"/>
    </row>
    <row r="529" customFormat="false" ht="15.75" hidden="false" customHeight="true" outlineLevel="0" collapsed="false">
      <c r="C529" s="193"/>
      <c r="D529" s="193"/>
    </row>
    <row r="530" customFormat="false" ht="15.75" hidden="false" customHeight="true" outlineLevel="0" collapsed="false">
      <c r="C530" s="193"/>
      <c r="D530" s="193"/>
    </row>
    <row r="531" customFormat="false" ht="15.75" hidden="false" customHeight="true" outlineLevel="0" collapsed="false">
      <c r="C531" s="193"/>
      <c r="D531" s="193"/>
    </row>
    <row r="532" customFormat="false" ht="15.75" hidden="false" customHeight="true" outlineLevel="0" collapsed="false">
      <c r="C532" s="193"/>
      <c r="D532" s="193"/>
    </row>
    <row r="533" customFormat="false" ht="15.75" hidden="false" customHeight="true" outlineLevel="0" collapsed="false">
      <c r="C533" s="193"/>
      <c r="D533" s="193"/>
    </row>
    <row r="534" customFormat="false" ht="15.75" hidden="false" customHeight="true" outlineLevel="0" collapsed="false">
      <c r="C534" s="193"/>
      <c r="D534" s="193"/>
    </row>
    <row r="535" customFormat="false" ht="15.75" hidden="false" customHeight="true" outlineLevel="0" collapsed="false">
      <c r="C535" s="193"/>
      <c r="D535" s="193"/>
    </row>
    <row r="536" customFormat="false" ht="15.75" hidden="false" customHeight="true" outlineLevel="0" collapsed="false">
      <c r="C536" s="193"/>
      <c r="D536" s="193"/>
    </row>
    <row r="537" customFormat="false" ht="15.75" hidden="false" customHeight="true" outlineLevel="0" collapsed="false">
      <c r="C537" s="193"/>
      <c r="D537" s="193"/>
    </row>
    <row r="538" customFormat="false" ht="15.75" hidden="false" customHeight="true" outlineLevel="0" collapsed="false">
      <c r="C538" s="193"/>
      <c r="D538" s="193"/>
    </row>
    <row r="539" customFormat="false" ht="15.75" hidden="false" customHeight="true" outlineLevel="0" collapsed="false">
      <c r="C539" s="193"/>
      <c r="D539" s="193"/>
    </row>
    <row r="540" customFormat="false" ht="15.75" hidden="false" customHeight="true" outlineLevel="0" collapsed="false">
      <c r="C540" s="193"/>
      <c r="D540" s="193"/>
    </row>
    <row r="541" customFormat="false" ht="15.75" hidden="false" customHeight="true" outlineLevel="0" collapsed="false">
      <c r="C541" s="193"/>
      <c r="D541" s="193"/>
    </row>
    <row r="542" customFormat="false" ht="15.75" hidden="false" customHeight="true" outlineLevel="0" collapsed="false">
      <c r="C542" s="193"/>
      <c r="D542" s="193"/>
    </row>
    <row r="543" customFormat="false" ht="15.75" hidden="false" customHeight="true" outlineLevel="0" collapsed="false">
      <c r="C543" s="193"/>
      <c r="D543" s="193"/>
    </row>
    <row r="544" customFormat="false" ht="15.75" hidden="false" customHeight="true" outlineLevel="0" collapsed="false">
      <c r="C544" s="193"/>
      <c r="D544" s="193"/>
    </row>
    <row r="545" customFormat="false" ht="15.75" hidden="false" customHeight="true" outlineLevel="0" collapsed="false">
      <c r="C545" s="193"/>
      <c r="D545" s="193"/>
    </row>
    <row r="546" customFormat="false" ht="15.75" hidden="false" customHeight="true" outlineLevel="0" collapsed="false">
      <c r="C546" s="193"/>
      <c r="D546" s="193"/>
    </row>
    <row r="547" customFormat="false" ht="15.75" hidden="false" customHeight="true" outlineLevel="0" collapsed="false">
      <c r="C547" s="193"/>
      <c r="D547" s="193"/>
    </row>
    <row r="548" customFormat="false" ht="15.75" hidden="false" customHeight="true" outlineLevel="0" collapsed="false">
      <c r="C548" s="193"/>
      <c r="D548" s="193"/>
    </row>
    <row r="549" customFormat="false" ht="15.75" hidden="false" customHeight="true" outlineLevel="0" collapsed="false">
      <c r="C549" s="193"/>
      <c r="D549" s="193"/>
    </row>
    <row r="550" customFormat="false" ht="15.75" hidden="false" customHeight="true" outlineLevel="0" collapsed="false">
      <c r="C550" s="193"/>
      <c r="D550" s="193"/>
    </row>
    <row r="551" customFormat="false" ht="15.75" hidden="false" customHeight="true" outlineLevel="0" collapsed="false">
      <c r="C551" s="193"/>
      <c r="D551" s="193"/>
    </row>
    <row r="552" customFormat="false" ht="15.75" hidden="false" customHeight="true" outlineLevel="0" collapsed="false">
      <c r="C552" s="193"/>
      <c r="D552" s="193"/>
    </row>
    <row r="553" customFormat="false" ht="15.75" hidden="false" customHeight="true" outlineLevel="0" collapsed="false">
      <c r="C553" s="193"/>
      <c r="D553" s="193"/>
    </row>
    <row r="554" customFormat="false" ht="15.75" hidden="false" customHeight="true" outlineLevel="0" collapsed="false">
      <c r="C554" s="193"/>
      <c r="D554" s="193"/>
    </row>
    <row r="555" customFormat="false" ht="15.75" hidden="false" customHeight="true" outlineLevel="0" collapsed="false">
      <c r="C555" s="193"/>
      <c r="D555" s="193"/>
    </row>
    <row r="556" customFormat="false" ht="15.75" hidden="false" customHeight="true" outlineLevel="0" collapsed="false">
      <c r="C556" s="193"/>
      <c r="D556" s="193"/>
    </row>
    <row r="557" customFormat="false" ht="15.75" hidden="false" customHeight="true" outlineLevel="0" collapsed="false">
      <c r="C557" s="193"/>
      <c r="D557" s="193"/>
    </row>
    <row r="558" customFormat="false" ht="15.75" hidden="false" customHeight="true" outlineLevel="0" collapsed="false">
      <c r="C558" s="193"/>
      <c r="D558" s="193"/>
    </row>
    <row r="559" customFormat="false" ht="15.75" hidden="false" customHeight="true" outlineLevel="0" collapsed="false">
      <c r="C559" s="193"/>
      <c r="D559" s="193"/>
    </row>
    <row r="560" customFormat="false" ht="15.75" hidden="false" customHeight="true" outlineLevel="0" collapsed="false">
      <c r="C560" s="193"/>
      <c r="D560" s="193"/>
    </row>
    <row r="561" customFormat="false" ht="15.75" hidden="false" customHeight="true" outlineLevel="0" collapsed="false">
      <c r="C561" s="193"/>
      <c r="D561" s="193"/>
    </row>
    <row r="562" customFormat="false" ht="15.75" hidden="false" customHeight="true" outlineLevel="0" collapsed="false">
      <c r="C562" s="193"/>
      <c r="D562" s="193"/>
    </row>
    <row r="563" customFormat="false" ht="15.75" hidden="false" customHeight="true" outlineLevel="0" collapsed="false">
      <c r="C563" s="193"/>
      <c r="D563" s="193"/>
    </row>
    <row r="564" customFormat="false" ht="15.75" hidden="false" customHeight="true" outlineLevel="0" collapsed="false">
      <c r="C564" s="193"/>
      <c r="D564" s="193"/>
    </row>
    <row r="565" customFormat="false" ht="15.75" hidden="false" customHeight="true" outlineLevel="0" collapsed="false">
      <c r="C565" s="193"/>
      <c r="D565" s="193"/>
    </row>
    <row r="566" customFormat="false" ht="15.75" hidden="false" customHeight="true" outlineLevel="0" collapsed="false">
      <c r="C566" s="193"/>
      <c r="D566" s="193"/>
    </row>
    <row r="567" customFormat="false" ht="15.75" hidden="false" customHeight="true" outlineLevel="0" collapsed="false">
      <c r="C567" s="193"/>
      <c r="D567" s="193"/>
    </row>
    <row r="568" customFormat="false" ht="15.75" hidden="false" customHeight="true" outlineLevel="0" collapsed="false">
      <c r="C568" s="193"/>
      <c r="D568" s="193"/>
    </row>
    <row r="569" customFormat="false" ht="15.75" hidden="false" customHeight="true" outlineLevel="0" collapsed="false">
      <c r="C569" s="193"/>
      <c r="D569" s="193"/>
    </row>
    <row r="570" customFormat="false" ht="15.75" hidden="false" customHeight="true" outlineLevel="0" collapsed="false">
      <c r="C570" s="193"/>
      <c r="D570" s="193"/>
    </row>
    <row r="571" customFormat="false" ht="15.75" hidden="false" customHeight="true" outlineLevel="0" collapsed="false">
      <c r="C571" s="193"/>
      <c r="D571" s="193"/>
    </row>
    <row r="572" customFormat="false" ht="15.75" hidden="false" customHeight="true" outlineLevel="0" collapsed="false">
      <c r="C572" s="193"/>
      <c r="D572" s="193"/>
    </row>
    <row r="573" customFormat="false" ht="15.75" hidden="false" customHeight="true" outlineLevel="0" collapsed="false">
      <c r="C573" s="193"/>
      <c r="D573" s="193"/>
    </row>
    <row r="574" customFormat="false" ht="15.75" hidden="false" customHeight="true" outlineLevel="0" collapsed="false">
      <c r="C574" s="193"/>
      <c r="D574" s="193"/>
    </row>
    <row r="575" customFormat="false" ht="15.75" hidden="false" customHeight="true" outlineLevel="0" collapsed="false">
      <c r="C575" s="193"/>
      <c r="D575" s="193"/>
    </row>
    <row r="576" customFormat="false" ht="15.75" hidden="false" customHeight="true" outlineLevel="0" collapsed="false">
      <c r="C576" s="193"/>
      <c r="D576" s="193"/>
    </row>
    <row r="577" customFormat="false" ht="15.75" hidden="false" customHeight="true" outlineLevel="0" collapsed="false">
      <c r="C577" s="193"/>
      <c r="D577" s="193"/>
    </row>
    <row r="578" customFormat="false" ht="15.75" hidden="false" customHeight="true" outlineLevel="0" collapsed="false">
      <c r="C578" s="193"/>
      <c r="D578" s="193"/>
    </row>
    <row r="579" customFormat="false" ht="15.75" hidden="false" customHeight="true" outlineLevel="0" collapsed="false">
      <c r="C579" s="193"/>
      <c r="D579" s="193"/>
    </row>
    <row r="580" customFormat="false" ht="15.75" hidden="false" customHeight="true" outlineLevel="0" collapsed="false">
      <c r="C580" s="193"/>
      <c r="D580" s="193"/>
    </row>
    <row r="581" customFormat="false" ht="15.75" hidden="false" customHeight="true" outlineLevel="0" collapsed="false">
      <c r="C581" s="193"/>
      <c r="D581" s="193"/>
    </row>
    <row r="582" customFormat="false" ht="15.75" hidden="false" customHeight="true" outlineLevel="0" collapsed="false">
      <c r="C582" s="193"/>
      <c r="D582" s="193"/>
    </row>
    <row r="583" customFormat="false" ht="15.75" hidden="false" customHeight="true" outlineLevel="0" collapsed="false">
      <c r="C583" s="193"/>
      <c r="D583" s="193"/>
    </row>
    <row r="584" customFormat="false" ht="15.75" hidden="false" customHeight="true" outlineLevel="0" collapsed="false">
      <c r="C584" s="193"/>
      <c r="D584" s="193"/>
    </row>
    <row r="585" customFormat="false" ht="15.75" hidden="false" customHeight="true" outlineLevel="0" collapsed="false">
      <c r="C585" s="193"/>
      <c r="D585" s="193"/>
    </row>
    <row r="586" customFormat="false" ht="15.75" hidden="false" customHeight="true" outlineLevel="0" collapsed="false">
      <c r="C586" s="193"/>
      <c r="D586" s="193"/>
    </row>
    <row r="587" customFormat="false" ht="15.75" hidden="false" customHeight="true" outlineLevel="0" collapsed="false">
      <c r="C587" s="193"/>
      <c r="D587" s="193"/>
    </row>
    <row r="588" customFormat="false" ht="15.75" hidden="false" customHeight="true" outlineLevel="0" collapsed="false">
      <c r="C588" s="193"/>
      <c r="D588" s="193"/>
    </row>
    <row r="589" customFormat="false" ht="15.75" hidden="false" customHeight="true" outlineLevel="0" collapsed="false">
      <c r="C589" s="193"/>
      <c r="D589" s="193"/>
    </row>
    <row r="590" customFormat="false" ht="15.75" hidden="false" customHeight="true" outlineLevel="0" collapsed="false">
      <c r="C590" s="193"/>
      <c r="D590" s="193"/>
    </row>
    <row r="591" customFormat="false" ht="15.75" hidden="false" customHeight="true" outlineLevel="0" collapsed="false">
      <c r="C591" s="193"/>
      <c r="D591" s="193"/>
    </row>
    <row r="592" customFormat="false" ht="15.75" hidden="false" customHeight="true" outlineLevel="0" collapsed="false">
      <c r="C592" s="193"/>
      <c r="D592" s="193"/>
    </row>
    <row r="593" customFormat="false" ht="15.75" hidden="false" customHeight="true" outlineLevel="0" collapsed="false">
      <c r="C593" s="193"/>
      <c r="D593" s="193"/>
    </row>
    <row r="594" customFormat="false" ht="15.75" hidden="false" customHeight="true" outlineLevel="0" collapsed="false">
      <c r="C594" s="193"/>
      <c r="D594" s="193"/>
    </row>
    <row r="595" customFormat="false" ht="15.75" hidden="false" customHeight="true" outlineLevel="0" collapsed="false">
      <c r="C595" s="193"/>
      <c r="D595" s="193"/>
    </row>
    <row r="596" customFormat="false" ht="15.75" hidden="false" customHeight="true" outlineLevel="0" collapsed="false">
      <c r="C596" s="193"/>
      <c r="D596" s="193"/>
    </row>
    <row r="597" customFormat="false" ht="15.75" hidden="false" customHeight="true" outlineLevel="0" collapsed="false">
      <c r="C597" s="193"/>
      <c r="D597" s="193"/>
    </row>
    <row r="598" customFormat="false" ht="15.75" hidden="false" customHeight="true" outlineLevel="0" collapsed="false">
      <c r="C598" s="193"/>
      <c r="D598" s="193"/>
    </row>
    <row r="599" customFormat="false" ht="15.75" hidden="false" customHeight="true" outlineLevel="0" collapsed="false">
      <c r="C599" s="193"/>
      <c r="D599" s="193"/>
    </row>
    <row r="600" customFormat="false" ht="15.75" hidden="false" customHeight="true" outlineLevel="0" collapsed="false">
      <c r="C600" s="193"/>
      <c r="D600" s="193"/>
    </row>
    <row r="601" customFormat="false" ht="15.75" hidden="false" customHeight="true" outlineLevel="0" collapsed="false">
      <c r="C601" s="193"/>
      <c r="D601" s="193"/>
    </row>
    <row r="602" customFormat="false" ht="15.75" hidden="false" customHeight="true" outlineLevel="0" collapsed="false">
      <c r="C602" s="193"/>
      <c r="D602" s="193"/>
    </row>
    <row r="603" customFormat="false" ht="15.75" hidden="false" customHeight="true" outlineLevel="0" collapsed="false">
      <c r="C603" s="193"/>
      <c r="D603" s="193"/>
    </row>
    <row r="604" customFormat="false" ht="15.75" hidden="false" customHeight="true" outlineLevel="0" collapsed="false">
      <c r="C604" s="193"/>
      <c r="D604" s="193"/>
    </row>
    <row r="605" customFormat="false" ht="15.75" hidden="false" customHeight="true" outlineLevel="0" collapsed="false">
      <c r="C605" s="193"/>
      <c r="D605" s="193"/>
    </row>
    <row r="606" customFormat="false" ht="15.75" hidden="false" customHeight="true" outlineLevel="0" collapsed="false">
      <c r="C606" s="193"/>
      <c r="D606" s="193"/>
    </row>
    <row r="607" customFormat="false" ht="15.75" hidden="false" customHeight="true" outlineLevel="0" collapsed="false">
      <c r="C607" s="193"/>
      <c r="D607" s="193"/>
    </row>
    <row r="608" customFormat="false" ht="15.75" hidden="false" customHeight="true" outlineLevel="0" collapsed="false">
      <c r="C608" s="193"/>
      <c r="D608" s="193"/>
    </row>
    <row r="609" customFormat="false" ht="15.75" hidden="false" customHeight="true" outlineLevel="0" collapsed="false">
      <c r="C609" s="193"/>
      <c r="D609" s="193"/>
    </row>
    <row r="610" customFormat="false" ht="15.75" hidden="false" customHeight="true" outlineLevel="0" collapsed="false">
      <c r="C610" s="193"/>
      <c r="D610" s="193"/>
    </row>
    <row r="611" customFormat="false" ht="15.75" hidden="false" customHeight="true" outlineLevel="0" collapsed="false">
      <c r="C611" s="193"/>
      <c r="D611" s="193"/>
    </row>
    <row r="612" customFormat="false" ht="15.75" hidden="false" customHeight="true" outlineLevel="0" collapsed="false">
      <c r="C612" s="193"/>
      <c r="D612" s="193"/>
    </row>
    <row r="613" customFormat="false" ht="15.75" hidden="false" customHeight="true" outlineLevel="0" collapsed="false">
      <c r="C613" s="193"/>
      <c r="D613" s="193"/>
    </row>
    <row r="614" customFormat="false" ht="15.75" hidden="false" customHeight="true" outlineLevel="0" collapsed="false">
      <c r="C614" s="193"/>
      <c r="D614" s="193"/>
    </row>
    <row r="615" customFormat="false" ht="15.75" hidden="false" customHeight="true" outlineLevel="0" collapsed="false">
      <c r="C615" s="193"/>
      <c r="D615" s="193"/>
    </row>
    <row r="616" customFormat="false" ht="15.75" hidden="false" customHeight="true" outlineLevel="0" collapsed="false">
      <c r="C616" s="193"/>
      <c r="D616" s="193"/>
    </row>
    <row r="617" customFormat="false" ht="15.75" hidden="false" customHeight="true" outlineLevel="0" collapsed="false">
      <c r="C617" s="193"/>
      <c r="D617" s="193"/>
    </row>
    <row r="618" customFormat="false" ht="15.75" hidden="false" customHeight="true" outlineLevel="0" collapsed="false">
      <c r="C618" s="193"/>
      <c r="D618" s="193"/>
    </row>
    <row r="619" customFormat="false" ht="15.75" hidden="false" customHeight="true" outlineLevel="0" collapsed="false">
      <c r="C619" s="193"/>
      <c r="D619" s="193"/>
    </row>
    <row r="620" customFormat="false" ht="15.75" hidden="false" customHeight="true" outlineLevel="0" collapsed="false">
      <c r="C620" s="193"/>
      <c r="D620" s="193"/>
    </row>
    <row r="621" customFormat="false" ht="15.75" hidden="false" customHeight="true" outlineLevel="0" collapsed="false">
      <c r="C621" s="193"/>
      <c r="D621" s="193"/>
    </row>
    <row r="622" customFormat="false" ht="15.75" hidden="false" customHeight="true" outlineLevel="0" collapsed="false">
      <c r="C622" s="193"/>
      <c r="D622" s="193"/>
    </row>
    <row r="623" customFormat="false" ht="15.75" hidden="false" customHeight="true" outlineLevel="0" collapsed="false">
      <c r="C623" s="193"/>
      <c r="D623" s="193"/>
    </row>
    <row r="624" customFormat="false" ht="15.75" hidden="false" customHeight="true" outlineLevel="0" collapsed="false">
      <c r="C624" s="193"/>
      <c r="D624" s="193"/>
    </row>
    <row r="625" customFormat="false" ht="15.75" hidden="false" customHeight="true" outlineLevel="0" collapsed="false">
      <c r="C625" s="193"/>
      <c r="D625" s="193"/>
    </row>
    <row r="626" customFormat="false" ht="15.75" hidden="false" customHeight="true" outlineLevel="0" collapsed="false">
      <c r="C626" s="193"/>
      <c r="D626" s="193"/>
    </row>
    <row r="627" customFormat="false" ht="15.75" hidden="false" customHeight="true" outlineLevel="0" collapsed="false">
      <c r="C627" s="193"/>
      <c r="D627" s="193"/>
    </row>
    <row r="628" customFormat="false" ht="15.75" hidden="false" customHeight="true" outlineLevel="0" collapsed="false">
      <c r="C628" s="193"/>
      <c r="D628" s="193"/>
    </row>
    <row r="629" customFormat="false" ht="15.75" hidden="false" customHeight="true" outlineLevel="0" collapsed="false">
      <c r="C629" s="193"/>
      <c r="D629" s="193"/>
    </row>
    <row r="630" customFormat="false" ht="15.75" hidden="false" customHeight="true" outlineLevel="0" collapsed="false">
      <c r="C630" s="193"/>
      <c r="D630" s="193"/>
    </row>
    <row r="631" customFormat="false" ht="15.75" hidden="false" customHeight="true" outlineLevel="0" collapsed="false">
      <c r="C631" s="193"/>
      <c r="D631" s="193"/>
    </row>
    <row r="632" customFormat="false" ht="15.75" hidden="false" customHeight="true" outlineLevel="0" collapsed="false">
      <c r="C632" s="193"/>
      <c r="D632" s="193"/>
    </row>
    <row r="633" customFormat="false" ht="15.75" hidden="false" customHeight="true" outlineLevel="0" collapsed="false">
      <c r="C633" s="193"/>
      <c r="D633" s="193"/>
    </row>
    <row r="634" customFormat="false" ht="15.75" hidden="false" customHeight="true" outlineLevel="0" collapsed="false">
      <c r="C634" s="193"/>
      <c r="D634" s="193"/>
    </row>
    <row r="635" customFormat="false" ht="15.75" hidden="false" customHeight="true" outlineLevel="0" collapsed="false">
      <c r="C635" s="193"/>
      <c r="D635" s="193"/>
    </row>
    <row r="636" customFormat="false" ht="15.75" hidden="false" customHeight="true" outlineLevel="0" collapsed="false">
      <c r="C636" s="193"/>
      <c r="D636" s="193"/>
    </row>
    <row r="637" customFormat="false" ht="15.75" hidden="false" customHeight="true" outlineLevel="0" collapsed="false">
      <c r="C637" s="193"/>
      <c r="D637" s="193"/>
    </row>
    <row r="638" customFormat="false" ht="15.75" hidden="false" customHeight="true" outlineLevel="0" collapsed="false">
      <c r="C638" s="193"/>
      <c r="D638" s="193"/>
    </row>
    <row r="639" customFormat="false" ht="15.75" hidden="false" customHeight="true" outlineLevel="0" collapsed="false">
      <c r="C639" s="193"/>
      <c r="D639" s="193"/>
    </row>
    <row r="640" customFormat="false" ht="15.75" hidden="false" customHeight="true" outlineLevel="0" collapsed="false">
      <c r="C640" s="193"/>
      <c r="D640" s="193"/>
    </row>
    <row r="641" customFormat="false" ht="15.75" hidden="false" customHeight="true" outlineLevel="0" collapsed="false">
      <c r="C641" s="193"/>
      <c r="D641" s="193"/>
    </row>
    <row r="642" customFormat="false" ht="15.75" hidden="false" customHeight="true" outlineLevel="0" collapsed="false">
      <c r="C642" s="193"/>
      <c r="D642" s="193"/>
    </row>
    <row r="643" customFormat="false" ht="15.75" hidden="false" customHeight="true" outlineLevel="0" collapsed="false">
      <c r="C643" s="193"/>
      <c r="D643" s="193"/>
    </row>
    <row r="644" customFormat="false" ht="15.75" hidden="false" customHeight="true" outlineLevel="0" collapsed="false">
      <c r="C644" s="193"/>
      <c r="D644" s="193"/>
    </row>
    <row r="645" customFormat="false" ht="15.75" hidden="false" customHeight="true" outlineLevel="0" collapsed="false">
      <c r="C645" s="193"/>
      <c r="D645" s="193"/>
    </row>
    <row r="646" customFormat="false" ht="15.75" hidden="false" customHeight="true" outlineLevel="0" collapsed="false">
      <c r="C646" s="193"/>
      <c r="D646" s="193"/>
    </row>
    <row r="647" customFormat="false" ht="15.75" hidden="false" customHeight="true" outlineLevel="0" collapsed="false">
      <c r="C647" s="193"/>
      <c r="D647" s="193"/>
    </row>
    <row r="648" customFormat="false" ht="15.75" hidden="false" customHeight="true" outlineLevel="0" collapsed="false">
      <c r="C648" s="193"/>
      <c r="D648" s="193"/>
    </row>
    <row r="649" customFormat="false" ht="15.75" hidden="false" customHeight="true" outlineLevel="0" collapsed="false">
      <c r="C649" s="193"/>
      <c r="D649" s="193"/>
    </row>
    <row r="650" customFormat="false" ht="15.75" hidden="false" customHeight="true" outlineLevel="0" collapsed="false">
      <c r="C650" s="193"/>
      <c r="D650" s="193"/>
    </row>
    <row r="651" customFormat="false" ht="15.75" hidden="false" customHeight="true" outlineLevel="0" collapsed="false">
      <c r="C651" s="193"/>
      <c r="D651" s="193"/>
    </row>
    <row r="652" customFormat="false" ht="15.75" hidden="false" customHeight="true" outlineLevel="0" collapsed="false">
      <c r="C652" s="193"/>
      <c r="D652" s="193"/>
    </row>
    <row r="653" customFormat="false" ht="15.75" hidden="false" customHeight="true" outlineLevel="0" collapsed="false">
      <c r="C653" s="193"/>
      <c r="D653" s="193"/>
    </row>
    <row r="654" customFormat="false" ht="15.75" hidden="false" customHeight="true" outlineLevel="0" collapsed="false">
      <c r="C654" s="193"/>
      <c r="D654" s="193"/>
    </row>
    <row r="655" customFormat="false" ht="15.75" hidden="false" customHeight="true" outlineLevel="0" collapsed="false">
      <c r="C655" s="193"/>
      <c r="D655" s="193"/>
    </row>
    <row r="656" customFormat="false" ht="15.75" hidden="false" customHeight="true" outlineLevel="0" collapsed="false">
      <c r="C656" s="193"/>
      <c r="D656" s="193"/>
    </row>
    <row r="657" customFormat="false" ht="15.75" hidden="false" customHeight="true" outlineLevel="0" collapsed="false">
      <c r="C657" s="193"/>
      <c r="D657" s="193"/>
    </row>
    <row r="658" customFormat="false" ht="15.75" hidden="false" customHeight="true" outlineLevel="0" collapsed="false">
      <c r="C658" s="193"/>
      <c r="D658" s="193"/>
    </row>
    <row r="659" customFormat="false" ht="15.75" hidden="false" customHeight="true" outlineLevel="0" collapsed="false">
      <c r="C659" s="193"/>
      <c r="D659" s="193"/>
    </row>
    <row r="660" customFormat="false" ht="15.75" hidden="false" customHeight="true" outlineLevel="0" collapsed="false">
      <c r="C660" s="193"/>
      <c r="D660" s="193"/>
    </row>
    <row r="661" customFormat="false" ht="15.75" hidden="false" customHeight="true" outlineLevel="0" collapsed="false">
      <c r="C661" s="193"/>
      <c r="D661" s="193"/>
    </row>
    <row r="662" customFormat="false" ht="15.75" hidden="false" customHeight="true" outlineLevel="0" collapsed="false">
      <c r="C662" s="193"/>
      <c r="D662" s="193"/>
    </row>
    <row r="663" customFormat="false" ht="15.75" hidden="false" customHeight="true" outlineLevel="0" collapsed="false">
      <c r="C663" s="193"/>
      <c r="D663" s="193"/>
    </row>
    <row r="664" customFormat="false" ht="15.75" hidden="false" customHeight="true" outlineLevel="0" collapsed="false">
      <c r="C664" s="193"/>
      <c r="D664" s="193"/>
    </row>
    <row r="665" customFormat="false" ht="15.75" hidden="false" customHeight="true" outlineLevel="0" collapsed="false">
      <c r="C665" s="193"/>
      <c r="D665" s="193"/>
    </row>
    <row r="666" customFormat="false" ht="15.75" hidden="false" customHeight="true" outlineLevel="0" collapsed="false">
      <c r="C666" s="193"/>
      <c r="D666" s="193"/>
    </row>
    <row r="667" customFormat="false" ht="15.75" hidden="false" customHeight="true" outlineLevel="0" collapsed="false">
      <c r="C667" s="193"/>
      <c r="D667" s="193"/>
    </row>
    <row r="668" customFormat="false" ht="15.75" hidden="false" customHeight="true" outlineLevel="0" collapsed="false">
      <c r="C668" s="193"/>
      <c r="D668" s="193"/>
    </row>
    <row r="669" customFormat="false" ht="15.75" hidden="false" customHeight="true" outlineLevel="0" collapsed="false">
      <c r="C669" s="193"/>
      <c r="D669" s="193"/>
    </row>
    <row r="670" customFormat="false" ht="15.75" hidden="false" customHeight="true" outlineLevel="0" collapsed="false">
      <c r="C670" s="193"/>
      <c r="D670" s="193"/>
    </row>
    <row r="671" customFormat="false" ht="15.75" hidden="false" customHeight="true" outlineLevel="0" collapsed="false">
      <c r="C671" s="193"/>
      <c r="D671" s="193"/>
    </row>
    <row r="672" customFormat="false" ht="15.75" hidden="false" customHeight="true" outlineLevel="0" collapsed="false">
      <c r="C672" s="193"/>
      <c r="D672" s="193"/>
    </row>
    <row r="673" customFormat="false" ht="15.75" hidden="false" customHeight="true" outlineLevel="0" collapsed="false">
      <c r="C673" s="193"/>
      <c r="D673" s="193"/>
    </row>
    <row r="674" customFormat="false" ht="15.75" hidden="false" customHeight="true" outlineLevel="0" collapsed="false">
      <c r="C674" s="193"/>
      <c r="D674" s="193"/>
    </row>
    <row r="675" customFormat="false" ht="15.75" hidden="false" customHeight="true" outlineLevel="0" collapsed="false">
      <c r="C675" s="193"/>
      <c r="D675" s="193"/>
    </row>
    <row r="676" customFormat="false" ht="15.75" hidden="false" customHeight="true" outlineLevel="0" collapsed="false">
      <c r="C676" s="193"/>
      <c r="D676" s="193"/>
    </row>
    <row r="677" customFormat="false" ht="15.75" hidden="false" customHeight="true" outlineLevel="0" collapsed="false">
      <c r="C677" s="193"/>
      <c r="D677" s="193"/>
    </row>
    <row r="678" customFormat="false" ht="15.75" hidden="false" customHeight="true" outlineLevel="0" collapsed="false">
      <c r="C678" s="193"/>
      <c r="D678" s="193"/>
    </row>
    <row r="679" customFormat="false" ht="15.75" hidden="false" customHeight="true" outlineLevel="0" collapsed="false">
      <c r="C679" s="193"/>
      <c r="D679" s="193"/>
    </row>
    <row r="680" customFormat="false" ht="15.75" hidden="false" customHeight="true" outlineLevel="0" collapsed="false">
      <c r="C680" s="193"/>
      <c r="D680" s="193"/>
    </row>
    <row r="681" customFormat="false" ht="15.75" hidden="false" customHeight="true" outlineLevel="0" collapsed="false">
      <c r="C681" s="193"/>
      <c r="D681" s="193"/>
    </row>
    <row r="682" customFormat="false" ht="15.75" hidden="false" customHeight="true" outlineLevel="0" collapsed="false">
      <c r="C682" s="193"/>
      <c r="D682" s="193"/>
    </row>
    <row r="683" customFormat="false" ht="15.75" hidden="false" customHeight="true" outlineLevel="0" collapsed="false">
      <c r="C683" s="193"/>
      <c r="D683" s="193"/>
    </row>
    <row r="684" customFormat="false" ht="15.75" hidden="false" customHeight="true" outlineLevel="0" collapsed="false">
      <c r="C684" s="193"/>
      <c r="D684" s="193"/>
    </row>
    <row r="685" customFormat="false" ht="15.75" hidden="false" customHeight="true" outlineLevel="0" collapsed="false">
      <c r="C685" s="193"/>
      <c r="D685" s="193"/>
    </row>
    <row r="686" customFormat="false" ht="15.75" hidden="false" customHeight="true" outlineLevel="0" collapsed="false">
      <c r="C686" s="193"/>
      <c r="D686" s="193"/>
    </row>
    <row r="687" customFormat="false" ht="15.75" hidden="false" customHeight="true" outlineLevel="0" collapsed="false">
      <c r="C687" s="193"/>
      <c r="D687" s="193"/>
    </row>
    <row r="688" customFormat="false" ht="15.75" hidden="false" customHeight="true" outlineLevel="0" collapsed="false">
      <c r="C688" s="193"/>
      <c r="D688" s="193"/>
    </row>
    <row r="689" customFormat="false" ht="15.75" hidden="false" customHeight="true" outlineLevel="0" collapsed="false">
      <c r="C689" s="193"/>
      <c r="D689" s="193"/>
    </row>
    <row r="690" customFormat="false" ht="15.75" hidden="false" customHeight="true" outlineLevel="0" collapsed="false">
      <c r="C690" s="193"/>
      <c r="D690" s="193"/>
    </row>
    <row r="691" customFormat="false" ht="15.75" hidden="false" customHeight="true" outlineLevel="0" collapsed="false">
      <c r="C691" s="193"/>
      <c r="D691" s="193"/>
    </row>
    <row r="692" customFormat="false" ht="15.75" hidden="false" customHeight="true" outlineLevel="0" collapsed="false">
      <c r="C692" s="193"/>
      <c r="D692" s="193"/>
    </row>
    <row r="693" customFormat="false" ht="15.75" hidden="false" customHeight="true" outlineLevel="0" collapsed="false">
      <c r="C693" s="193"/>
      <c r="D693" s="193"/>
    </row>
    <row r="694" customFormat="false" ht="15.75" hidden="false" customHeight="true" outlineLevel="0" collapsed="false">
      <c r="C694" s="193"/>
      <c r="D694" s="193"/>
    </row>
    <row r="695" customFormat="false" ht="15.75" hidden="false" customHeight="true" outlineLevel="0" collapsed="false">
      <c r="C695" s="193"/>
      <c r="D695" s="193"/>
    </row>
    <row r="696" customFormat="false" ht="15.75" hidden="false" customHeight="true" outlineLevel="0" collapsed="false">
      <c r="C696" s="193"/>
      <c r="D696" s="193"/>
    </row>
    <row r="697" customFormat="false" ht="15.75" hidden="false" customHeight="true" outlineLevel="0" collapsed="false">
      <c r="C697" s="193"/>
      <c r="D697" s="193"/>
    </row>
    <row r="698" customFormat="false" ht="15.75" hidden="false" customHeight="true" outlineLevel="0" collapsed="false">
      <c r="C698" s="193"/>
      <c r="D698" s="193"/>
    </row>
    <row r="699" customFormat="false" ht="15.75" hidden="false" customHeight="true" outlineLevel="0" collapsed="false">
      <c r="C699" s="193"/>
      <c r="D699" s="193"/>
    </row>
    <row r="700" customFormat="false" ht="15.75" hidden="false" customHeight="true" outlineLevel="0" collapsed="false">
      <c r="C700" s="193"/>
      <c r="D700" s="193"/>
    </row>
    <row r="701" customFormat="false" ht="15.75" hidden="false" customHeight="true" outlineLevel="0" collapsed="false">
      <c r="C701" s="193"/>
      <c r="D701" s="193"/>
    </row>
    <row r="702" customFormat="false" ht="15.75" hidden="false" customHeight="true" outlineLevel="0" collapsed="false">
      <c r="C702" s="193"/>
      <c r="D702" s="193"/>
    </row>
    <row r="703" customFormat="false" ht="15.75" hidden="false" customHeight="true" outlineLevel="0" collapsed="false">
      <c r="C703" s="193"/>
      <c r="D703" s="193"/>
    </row>
    <row r="704" customFormat="false" ht="15.75" hidden="false" customHeight="true" outlineLevel="0" collapsed="false">
      <c r="C704" s="193"/>
      <c r="D704" s="193"/>
    </row>
    <row r="705" customFormat="false" ht="15.75" hidden="false" customHeight="true" outlineLevel="0" collapsed="false">
      <c r="C705" s="193"/>
      <c r="D705" s="193"/>
    </row>
    <row r="706" customFormat="false" ht="15.75" hidden="false" customHeight="true" outlineLevel="0" collapsed="false">
      <c r="C706" s="193"/>
      <c r="D706" s="193"/>
    </row>
    <row r="707" customFormat="false" ht="15.75" hidden="false" customHeight="true" outlineLevel="0" collapsed="false">
      <c r="C707" s="193"/>
      <c r="D707" s="193"/>
    </row>
    <row r="708" customFormat="false" ht="15.75" hidden="false" customHeight="true" outlineLevel="0" collapsed="false">
      <c r="C708" s="193"/>
      <c r="D708" s="193"/>
    </row>
    <row r="709" customFormat="false" ht="15.75" hidden="false" customHeight="true" outlineLevel="0" collapsed="false">
      <c r="C709" s="193"/>
      <c r="D709" s="193"/>
    </row>
    <row r="710" customFormat="false" ht="15.75" hidden="false" customHeight="true" outlineLevel="0" collapsed="false">
      <c r="C710" s="193"/>
      <c r="D710" s="193"/>
    </row>
    <row r="711" customFormat="false" ht="15.75" hidden="false" customHeight="true" outlineLevel="0" collapsed="false">
      <c r="C711" s="193"/>
      <c r="D711" s="193"/>
    </row>
    <row r="712" customFormat="false" ht="15.75" hidden="false" customHeight="true" outlineLevel="0" collapsed="false">
      <c r="C712" s="193"/>
      <c r="D712" s="193"/>
    </row>
    <row r="713" customFormat="false" ht="15.75" hidden="false" customHeight="true" outlineLevel="0" collapsed="false">
      <c r="C713" s="193"/>
      <c r="D713" s="193"/>
    </row>
    <row r="714" customFormat="false" ht="15.75" hidden="false" customHeight="true" outlineLevel="0" collapsed="false">
      <c r="C714" s="193"/>
      <c r="D714" s="193"/>
    </row>
    <row r="715" customFormat="false" ht="15.75" hidden="false" customHeight="true" outlineLevel="0" collapsed="false">
      <c r="C715" s="193"/>
      <c r="D715" s="193"/>
    </row>
    <row r="716" customFormat="false" ht="15.75" hidden="false" customHeight="true" outlineLevel="0" collapsed="false">
      <c r="C716" s="193"/>
      <c r="D716" s="193"/>
    </row>
    <row r="717" customFormat="false" ht="15.75" hidden="false" customHeight="true" outlineLevel="0" collapsed="false">
      <c r="C717" s="193"/>
      <c r="D717" s="193"/>
    </row>
    <row r="718" customFormat="false" ht="15.75" hidden="false" customHeight="true" outlineLevel="0" collapsed="false">
      <c r="C718" s="193"/>
      <c r="D718" s="193"/>
    </row>
    <row r="719" customFormat="false" ht="15.75" hidden="false" customHeight="true" outlineLevel="0" collapsed="false">
      <c r="C719" s="193"/>
      <c r="D719" s="193"/>
    </row>
    <row r="720" customFormat="false" ht="15.75" hidden="false" customHeight="true" outlineLevel="0" collapsed="false">
      <c r="C720" s="193"/>
      <c r="D720" s="193"/>
    </row>
    <row r="721" customFormat="false" ht="15.75" hidden="false" customHeight="true" outlineLevel="0" collapsed="false">
      <c r="C721" s="193"/>
      <c r="D721" s="193"/>
    </row>
    <row r="722" customFormat="false" ht="15.75" hidden="false" customHeight="true" outlineLevel="0" collapsed="false">
      <c r="C722" s="193"/>
      <c r="D722" s="193"/>
    </row>
    <row r="723" customFormat="false" ht="15.75" hidden="false" customHeight="true" outlineLevel="0" collapsed="false">
      <c r="C723" s="193"/>
      <c r="D723" s="193"/>
    </row>
    <row r="724" customFormat="false" ht="15.75" hidden="false" customHeight="true" outlineLevel="0" collapsed="false">
      <c r="C724" s="193"/>
      <c r="D724" s="193"/>
    </row>
    <row r="725" customFormat="false" ht="15.75" hidden="false" customHeight="true" outlineLevel="0" collapsed="false">
      <c r="C725" s="193"/>
      <c r="D725" s="193"/>
    </row>
    <row r="726" customFormat="false" ht="15.75" hidden="false" customHeight="true" outlineLevel="0" collapsed="false">
      <c r="C726" s="193"/>
      <c r="D726" s="193"/>
    </row>
    <row r="727" customFormat="false" ht="15.75" hidden="false" customHeight="true" outlineLevel="0" collapsed="false">
      <c r="C727" s="193"/>
      <c r="D727" s="193"/>
    </row>
    <row r="728" customFormat="false" ht="15.75" hidden="false" customHeight="true" outlineLevel="0" collapsed="false">
      <c r="C728" s="193"/>
      <c r="D728" s="193"/>
    </row>
    <row r="729" customFormat="false" ht="15.75" hidden="false" customHeight="true" outlineLevel="0" collapsed="false">
      <c r="C729" s="193"/>
      <c r="D729" s="193"/>
    </row>
    <row r="730" customFormat="false" ht="15.75" hidden="false" customHeight="true" outlineLevel="0" collapsed="false">
      <c r="C730" s="193"/>
      <c r="D730" s="193"/>
    </row>
    <row r="731" customFormat="false" ht="15.75" hidden="false" customHeight="true" outlineLevel="0" collapsed="false">
      <c r="C731" s="193"/>
      <c r="D731" s="193"/>
    </row>
    <row r="732" customFormat="false" ht="15.75" hidden="false" customHeight="true" outlineLevel="0" collapsed="false">
      <c r="C732" s="193"/>
      <c r="D732" s="193"/>
    </row>
    <row r="733" customFormat="false" ht="15.75" hidden="false" customHeight="true" outlineLevel="0" collapsed="false">
      <c r="C733" s="193"/>
      <c r="D733" s="193"/>
    </row>
    <row r="734" customFormat="false" ht="15.75" hidden="false" customHeight="true" outlineLevel="0" collapsed="false">
      <c r="C734" s="193"/>
      <c r="D734" s="193"/>
    </row>
    <row r="735" customFormat="false" ht="15.75" hidden="false" customHeight="true" outlineLevel="0" collapsed="false">
      <c r="C735" s="193"/>
      <c r="D735" s="193"/>
    </row>
    <row r="736" customFormat="false" ht="15.75" hidden="false" customHeight="true" outlineLevel="0" collapsed="false">
      <c r="C736" s="193"/>
      <c r="D736" s="193"/>
    </row>
    <row r="737" customFormat="false" ht="15.75" hidden="false" customHeight="true" outlineLevel="0" collapsed="false">
      <c r="C737" s="193"/>
      <c r="D737" s="193"/>
    </row>
    <row r="738" customFormat="false" ht="15.75" hidden="false" customHeight="true" outlineLevel="0" collapsed="false">
      <c r="C738" s="193"/>
      <c r="D738" s="193"/>
    </row>
    <row r="739" customFormat="false" ht="15.75" hidden="false" customHeight="true" outlineLevel="0" collapsed="false">
      <c r="C739" s="193"/>
      <c r="D739" s="193"/>
    </row>
    <row r="740" customFormat="false" ht="15.75" hidden="false" customHeight="true" outlineLevel="0" collapsed="false">
      <c r="C740" s="193"/>
      <c r="D740" s="193"/>
    </row>
    <row r="741" customFormat="false" ht="15.75" hidden="false" customHeight="true" outlineLevel="0" collapsed="false">
      <c r="C741" s="193"/>
      <c r="D741" s="193"/>
    </row>
    <row r="742" customFormat="false" ht="15.75" hidden="false" customHeight="true" outlineLevel="0" collapsed="false">
      <c r="C742" s="193"/>
      <c r="D742" s="193"/>
    </row>
    <row r="743" customFormat="false" ht="15.75" hidden="false" customHeight="true" outlineLevel="0" collapsed="false">
      <c r="C743" s="193"/>
      <c r="D743" s="193"/>
    </row>
    <row r="744" customFormat="false" ht="15.75" hidden="false" customHeight="true" outlineLevel="0" collapsed="false">
      <c r="C744" s="193"/>
      <c r="D744" s="193"/>
    </row>
    <row r="745" customFormat="false" ht="15.75" hidden="false" customHeight="true" outlineLevel="0" collapsed="false">
      <c r="C745" s="193"/>
      <c r="D745" s="193"/>
    </row>
    <row r="746" customFormat="false" ht="15.75" hidden="false" customHeight="true" outlineLevel="0" collapsed="false">
      <c r="C746" s="193"/>
      <c r="D746" s="193"/>
    </row>
    <row r="747" customFormat="false" ht="15.75" hidden="false" customHeight="true" outlineLevel="0" collapsed="false">
      <c r="C747" s="193"/>
      <c r="D747" s="193"/>
    </row>
    <row r="748" customFormat="false" ht="15.75" hidden="false" customHeight="true" outlineLevel="0" collapsed="false">
      <c r="C748" s="193"/>
      <c r="D748" s="193"/>
    </row>
    <row r="749" customFormat="false" ht="15.75" hidden="false" customHeight="true" outlineLevel="0" collapsed="false">
      <c r="C749" s="193"/>
      <c r="D749" s="193"/>
    </row>
    <row r="750" customFormat="false" ht="15.75" hidden="false" customHeight="true" outlineLevel="0" collapsed="false">
      <c r="C750" s="193"/>
      <c r="D750" s="193"/>
    </row>
    <row r="751" customFormat="false" ht="15.75" hidden="false" customHeight="true" outlineLevel="0" collapsed="false">
      <c r="C751" s="193"/>
      <c r="D751" s="193"/>
    </row>
    <row r="752" customFormat="false" ht="15.75" hidden="false" customHeight="true" outlineLevel="0" collapsed="false">
      <c r="C752" s="193"/>
      <c r="D752" s="193"/>
    </row>
    <row r="753" customFormat="false" ht="15.75" hidden="false" customHeight="true" outlineLevel="0" collapsed="false">
      <c r="C753" s="193"/>
      <c r="D753" s="193"/>
    </row>
    <row r="754" customFormat="false" ht="15.75" hidden="false" customHeight="true" outlineLevel="0" collapsed="false">
      <c r="C754" s="193"/>
      <c r="D754" s="193"/>
    </row>
    <row r="755" customFormat="false" ht="15.75" hidden="false" customHeight="true" outlineLevel="0" collapsed="false">
      <c r="C755" s="193"/>
      <c r="D755" s="193"/>
    </row>
    <row r="756" customFormat="false" ht="15.75" hidden="false" customHeight="true" outlineLevel="0" collapsed="false">
      <c r="C756" s="193"/>
      <c r="D756" s="193"/>
    </row>
    <row r="757" customFormat="false" ht="15.75" hidden="false" customHeight="true" outlineLevel="0" collapsed="false">
      <c r="C757" s="193"/>
      <c r="D757" s="193"/>
    </row>
    <row r="758" customFormat="false" ht="15.75" hidden="false" customHeight="true" outlineLevel="0" collapsed="false">
      <c r="C758" s="193"/>
      <c r="D758" s="193"/>
    </row>
    <row r="759" customFormat="false" ht="15.75" hidden="false" customHeight="true" outlineLevel="0" collapsed="false">
      <c r="C759" s="193"/>
      <c r="D759" s="193"/>
    </row>
    <row r="760" customFormat="false" ht="15.75" hidden="false" customHeight="true" outlineLevel="0" collapsed="false">
      <c r="C760" s="193"/>
      <c r="D760" s="193"/>
    </row>
    <row r="761" customFormat="false" ht="15.75" hidden="false" customHeight="true" outlineLevel="0" collapsed="false">
      <c r="C761" s="193"/>
      <c r="D761" s="193"/>
    </row>
    <row r="762" customFormat="false" ht="15.75" hidden="false" customHeight="true" outlineLevel="0" collapsed="false">
      <c r="C762" s="193"/>
      <c r="D762" s="193"/>
    </row>
    <row r="763" customFormat="false" ht="15.75" hidden="false" customHeight="true" outlineLevel="0" collapsed="false">
      <c r="C763" s="193"/>
      <c r="D763" s="193"/>
    </row>
    <row r="764" customFormat="false" ht="15.75" hidden="false" customHeight="true" outlineLevel="0" collapsed="false">
      <c r="C764" s="193"/>
      <c r="D764" s="193"/>
    </row>
    <row r="765" customFormat="false" ht="15.75" hidden="false" customHeight="true" outlineLevel="0" collapsed="false">
      <c r="C765" s="193"/>
      <c r="D765" s="193"/>
    </row>
    <row r="766" customFormat="false" ht="15.75" hidden="false" customHeight="true" outlineLevel="0" collapsed="false">
      <c r="C766" s="193"/>
      <c r="D766" s="193"/>
    </row>
    <row r="767" customFormat="false" ht="15.75" hidden="false" customHeight="true" outlineLevel="0" collapsed="false">
      <c r="C767" s="193"/>
      <c r="D767" s="193"/>
    </row>
    <row r="768" customFormat="false" ht="15.75" hidden="false" customHeight="true" outlineLevel="0" collapsed="false">
      <c r="C768" s="193"/>
      <c r="D768" s="193"/>
    </row>
    <row r="769" customFormat="false" ht="15.75" hidden="false" customHeight="true" outlineLevel="0" collapsed="false">
      <c r="C769" s="193"/>
      <c r="D769" s="193"/>
    </row>
    <row r="770" customFormat="false" ht="15.75" hidden="false" customHeight="true" outlineLevel="0" collapsed="false">
      <c r="C770" s="193"/>
      <c r="D770" s="193"/>
    </row>
    <row r="771" customFormat="false" ht="15.75" hidden="false" customHeight="true" outlineLevel="0" collapsed="false">
      <c r="C771" s="193"/>
      <c r="D771" s="193"/>
    </row>
    <row r="772" customFormat="false" ht="15.75" hidden="false" customHeight="true" outlineLevel="0" collapsed="false">
      <c r="C772" s="193"/>
      <c r="D772" s="193"/>
    </row>
    <row r="773" customFormat="false" ht="15.75" hidden="false" customHeight="true" outlineLevel="0" collapsed="false">
      <c r="C773" s="193"/>
      <c r="D773" s="193"/>
    </row>
    <row r="774" customFormat="false" ht="15.75" hidden="false" customHeight="true" outlineLevel="0" collapsed="false">
      <c r="C774" s="193"/>
      <c r="D774" s="193"/>
    </row>
    <row r="775" customFormat="false" ht="15.75" hidden="false" customHeight="true" outlineLevel="0" collapsed="false">
      <c r="C775" s="193"/>
      <c r="D775" s="193"/>
    </row>
    <row r="776" customFormat="false" ht="15.75" hidden="false" customHeight="true" outlineLevel="0" collapsed="false">
      <c r="C776" s="193"/>
      <c r="D776" s="193"/>
    </row>
    <row r="777" customFormat="false" ht="15.75" hidden="false" customHeight="true" outlineLevel="0" collapsed="false">
      <c r="C777" s="193"/>
      <c r="D777" s="193"/>
    </row>
    <row r="778" customFormat="false" ht="15.75" hidden="false" customHeight="true" outlineLevel="0" collapsed="false">
      <c r="C778" s="193"/>
      <c r="D778" s="193"/>
    </row>
    <row r="779" customFormat="false" ht="15.75" hidden="false" customHeight="true" outlineLevel="0" collapsed="false">
      <c r="C779" s="193"/>
      <c r="D779" s="193"/>
    </row>
    <row r="780" customFormat="false" ht="15.75" hidden="false" customHeight="true" outlineLevel="0" collapsed="false">
      <c r="C780" s="193"/>
      <c r="D780" s="193"/>
    </row>
    <row r="781" customFormat="false" ht="15.75" hidden="false" customHeight="true" outlineLevel="0" collapsed="false">
      <c r="C781" s="193"/>
      <c r="D781" s="193"/>
    </row>
    <row r="782" customFormat="false" ht="15.75" hidden="false" customHeight="true" outlineLevel="0" collapsed="false">
      <c r="C782" s="193"/>
      <c r="D782" s="193"/>
    </row>
    <row r="783" customFormat="false" ht="15.75" hidden="false" customHeight="true" outlineLevel="0" collapsed="false">
      <c r="C783" s="193"/>
      <c r="D783" s="193"/>
    </row>
    <row r="784" customFormat="false" ht="15.75" hidden="false" customHeight="true" outlineLevel="0" collapsed="false">
      <c r="C784" s="193"/>
      <c r="D784" s="193"/>
    </row>
    <row r="785" customFormat="false" ht="15.75" hidden="false" customHeight="true" outlineLevel="0" collapsed="false">
      <c r="C785" s="193"/>
      <c r="D785" s="193"/>
    </row>
    <row r="786" customFormat="false" ht="15.75" hidden="false" customHeight="true" outlineLevel="0" collapsed="false">
      <c r="C786" s="193"/>
      <c r="D786" s="193"/>
    </row>
    <row r="787" customFormat="false" ht="15.75" hidden="false" customHeight="true" outlineLevel="0" collapsed="false">
      <c r="C787" s="193"/>
      <c r="D787" s="193"/>
    </row>
    <row r="788" customFormat="false" ht="15.75" hidden="false" customHeight="true" outlineLevel="0" collapsed="false">
      <c r="C788" s="193"/>
      <c r="D788" s="193"/>
    </row>
    <row r="789" customFormat="false" ht="15.75" hidden="false" customHeight="true" outlineLevel="0" collapsed="false">
      <c r="C789" s="193"/>
      <c r="D789" s="193"/>
    </row>
    <row r="790" customFormat="false" ht="15.75" hidden="false" customHeight="true" outlineLevel="0" collapsed="false">
      <c r="C790" s="193"/>
      <c r="D790" s="193"/>
    </row>
    <row r="791" customFormat="false" ht="15.75" hidden="false" customHeight="true" outlineLevel="0" collapsed="false">
      <c r="C791" s="193"/>
      <c r="D791" s="193"/>
    </row>
    <row r="792" customFormat="false" ht="15.75" hidden="false" customHeight="true" outlineLevel="0" collapsed="false">
      <c r="C792" s="193"/>
      <c r="D792" s="193"/>
    </row>
    <row r="793" customFormat="false" ht="15.75" hidden="false" customHeight="true" outlineLevel="0" collapsed="false">
      <c r="C793" s="193"/>
      <c r="D793" s="193"/>
    </row>
    <row r="794" customFormat="false" ht="15.75" hidden="false" customHeight="true" outlineLevel="0" collapsed="false">
      <c r="C794" s="193"/>
      <c r="D794" s="193"/>
    </row>
    <row r="795" customFormat="false" ht="15.75" hidden="false" customHeight="true" outlineLevel="0" collapsed="false">
      <c r="C795" s="193"/>
      <c r="D795" s="193"/>
    </row>
    <row r="796" customFormat="false" ht="15.75" hidden="false" customHeight="true" outlineLevel="0" collapsed="false">
      <c r="C796" s="193"/>
      <c r="D796" s="193"/>
    </row>
    <row r="797" customFormat="false" ht="15.75" hidden="false" customHeight="true" outlineLevel="0" collapsed="false">
      <c r="C797" s="193"/>
      <c r="D797" s="193"/>
    </row>
    <row r="798" customFormat="false" ht="15.75" hidden="false" customHeight="true" outlineLevel="0" collapsed="false">
      <c r="C798" s="193"/>
      <c r="D798" s="193"/>
    </row>
    <row r="799" customFormat="false" ht="15.75" hidden="false" customHeight="true" outlineLevel="0" collapsed="false">
      <c r="C799" s="193"/>
      <c r="D799" s="193"/>
    </row>
    <row r="800" customFormat="false" ht="15.75" hidden="false" customHeight="true" outlineLevel="0" collapsed="false">
      <c r="C800" s="193"/>
      <c r="D800" s="193"/>
    </row>
    <row r="801" customFormat="false" ht="15.75" hidden="false" customHeight="true" outlineLevel="0" collapsed="false">
      <c r="C801" s="193"/>
      <c r="D801" s="193"/>
    </row>
    <row r="802" customFormat="false" ht="15.75" hidden="false" customHeight="true" outlineLevel="0" collapsed="false">
      <c r="C802" s="193"/>
      <c r="D802" s="193"/>
    </row>
    <row r="803" customFormat="false" ht="15.75" hidden="false" customHeight="true" outlineLevel="0" collapsed="false">
      <c r="C803" s="193"/>
      <c r="D803" s="193"/>
    </row>
    <row r="804" customFormat="false" ht="15.75" hidden="false" customHeight="true" outlineLevel="0" collapsed="false">
      <c r="C804" s="193"/>
      <c r="D804" s="193"/>
    </row>
    <row r="805" customFormat="false" ht="15.75" hidden="false" customHeight="true" outlineLevel="0" collapsed="false">
      <c r="C805" s="193"/>
      <c r="D805" s="193"/>
    </row>
    <row r="806" customFormat="false" ht="15.75" hidden="false" customHeight="true" outlineLevel="0" collapsed="false">
      <c r="C806" s="193"/>
      <c r="D806" s="193"/>
    </row>
    <row r="807" customFormat="false" ht="15.75" hidden="false" customHeight="true" outlineLevel="0" collapsed="false">
      <c r="C807" s="193"/>
      <c r="D807" s="193"/>
    </row>
    <row r="808" customFormat="false" ht="15.75" hidden="false" customHeight="true" outlineLevel="0" collapsed="false">
      <c r="C808" s="193"/>
      <c r="D808" s="193"/>
    </row>
    <row r="809" customFormat="false" ht="15.75" hidden="false" customHeight="true" outlineLevel="0" collapsed="false">
      <c r="C809" s="193"/>
      <c r="D809" s="193"/>
    </row>
    <row r="810" customFormat="false" ht="15.75" hidden="false" customHeight="true" outlineLevel="0" collapsed="false">
      <c r="C810" s="193"/>
      <c r="D810" s="193"/>
    </row>
    <row r="811" customFormat="false" ht="15.75" hidden="false" customHeight="true" outlineLevel="0" collapsed="false">
      <c r="C811" s="193"/>
      <c r="D811" s="193"/>
    </row>
    <row r="812" customFormat="false" ht="15.75" hidden="false" customHeight="true" outlineLevel="0" collapsed="false">
      <c r="C812" s="193"/>
      <c r="D812" s="193"/>
    </row>
    <row r="813" customFormat="false" ht="15.75" hidden="false" customHeight="true" outlineLevel="0" collapsed="false">
      <c r="C813" s="193"/>
      <c r="D813" s="193"/>
    </row>
    <row r="814" customFormat="false" ht="15.75" hidden="false" customHeight="true" outlineLevel="0" collapsed="false">
      <c r="C814" s="193"/>
      <c r="D814" s="193"/>
    </row>
    <row r="815" customFormat="false" ht="15.75" hidden="false" customHeight="true" outlineLevel="0" collapsed="false">
      <c r="C815" s="193"/>
      <c r="D815" s="193"/>
    </row>
    <row r="816" customFormat="false" ht="15.75" hidden="false" customHeight="true" outlineLevel="0" collapsed="false">
      <c r="C816" s="193"/>
      <c r="D816" s="193"/>
    </row>
    <row r="817" customFormat="false" ht="15.75" hidden="false" customHeight="true" outlineLevel="0" collapsed="false">
      <c r="C817" s="193"/>
      <c r="D817" s="193"/>
    </row>
    <row r="818" customFormat="false" ht="15.75" hidden="false" customHeight="true" outlineLevel="0" collapsed="false">
      <c r="C818" s="193"/>
      <c r="D818" s="193"/>
    </row>
    <row r="819" customFormat="false" ht="15.75" hidden="false" customHeight="true" outlineLevel="0" collapsed="false">
      <c r="C819" s="193"/>
      <c r="D819" s="193"/>
    </row>
    <row r="820" customFormat="false" ht="15.75" hidden="false" customHeight="true" outlineLevel="0" collapsed="false">
      <c r="C820" s="193"/>
      <c r="D820" s="193"/>
    </row>
    <row r="821" customFormat="false" ht="15.75" hidden="false" customHeight="true" outlineLevel="0" collapsed="false">
      <c r="C821" s="193"/>
      <c r="D821" s="193"/>
    </row>
    <row r="822" customFormat="false" ht="15.75" hidden="false" customHeight="true" outlineLevel="0" collapsed="false">
      <c r="C822" s="193"/>
      <c r="D822" s="193"/>
    </row>
    <row r="823" customFormat="false" ht="15.75" hidden="false" customHeight="true" outlineLevel="0" collapsed="false">
      <c r="C823" s="193"/>
      <c r="D823" s="193"/>
    </row>
    <row r="824" customFormat="false" ht="15.75" hidden="false" customHeight="true" outlineLevel="0" collapsed="false">
      <c r="C824" s="193"/>
      <c r="D824" s="193"/>
    </row>
    <row r="825" customFormat="false" ht="15.75" hidden="false" customHeight="true" outlineLevel="0" collapsed="false">
      <c r="C825" s="193"/>
      <c r="D825" s="193"/>
    </row>
    <row r="826" customFormat="false" ht="15.75" hidden="false" customHeight="true" outlineLevel="0" collapsed="false">
      <c r="C826" s="193"/>
      <c r="D826" s="193"/>
    </row>
    <row r="827" customFormat="false" ht="15.75" hidden="false" customHeight="true" outlineLevel="0" collapsed="false">
      <c r="C827" s="193"/>
      <c r="D827" s="193"/>
    </row>
    <row r="828" customFormat="false" ht="15.75" hidden="false" customHeight="true" outlineLevel="0" collapsed="false">
      <c r="C828" s="193"/>
      <c r="D828" s="193"/>
    </row>
    <row r="829" customFormat="false" ht="15.75" hidden="false" customHeight="true" outlineLevel="0" collapsed="false">
      <c r="C829" s="193"/>
      <c r="D829" s="193"/>
    </row>
    <row r="830" customFormat="false" ht="15.75" hidden="false" customHeight="true" outlineLevel="0" collapsed="false">
      <c r="C830" s="193"/>
      <c r="D830" s="193"/>
    </row>
    <row r="831" customFormat="false" ht="15.75" hidden="false" customHeight="true" outlineLevel="0" collapsed="false">
      <c r="C831" s="193"/>
      <c r="D831" s="193"/>
    </row>
    <row r="832" customFormat="false" ht="15.75" hidden="false" customHeight="true" outlineLevel="0" collapsed="false">
      <c r="C832" s="193"/>
      <c r="D832" s="193"/>
    </row>
    <row r="833" customFormat="false" ht="15.75" hidden="false" customHeight="true" outlineLevel="0" collapsed="false">
      <c r="C833" s="193"/>
      <c r="D833" s="193"/>
    </row>
    <row r="834" customFormat="false" ht="15.75" hidden="false" customHeight="true" outlineLevel="0" collapsed="false">
      <c r="C834" s="193"/>
      <c r="D834" s="193"/>
    </row>
    <row r="835" customFormat="false" ht="15.75" hidden="false" customHeight="true" outlineLevel="0" collapsed="false">
      <c r="C835" s="193"/>
      <c r="D835" s="193"/>
    </row>
    <row r="836" customFormat="false" ht="15.75" hidden="false" customHeight="true" outlineLevel="0" collapsed="false">
      <c r="C836" s="193"/>
      <c r="D836" s="193"/>
    </row>
    <row r="837" customFormat="false" ht="15.75" hidden="false" customHeight="true" outlineLevel="0" collapsed="false">
      <c r="C837" s="193"/>
      <c r="D837" s="193"/>
    </row>
    <row r="838" customFormat="false" ht="15.75" hidden="false" customHeight="true" outlineLevel="0" collapsed="false">
      <c r="C838" s="193"/>
      <c r="D838" s="193"/>
    </row>
    <row r="839" customFormat="false" ht="15.75" hidden="false" customHeight="true" outlineLevel="0" collapsed="false">
      <c r="C839" s="193"/>
      <c r="D839" s="193"/>
    </row>
    <row r="840" customFormat="false" ht="15.75" hidden="false" customHeight="true" outlineLevel="0" collapsed="false">
      <c r="C840" s="193"/>
      <c r="D840" s="193"/>
    </row>
    <row r="841" customFormat="false" ht="15.75" hidden="false" customHeight="true" outlineLevel="0" collapsed="false">
      <c r="C841" s="193"/>
      <c r="D841" s="193"/>
    </row>
    <row r="842" customFormat="false" ht="15.75" hidden="false" customHeight="true" outlineLevel="0" collapsed="false">
      <c r="C842" s="193"/>
      <c r="D842" s="193"/>
    </row>
    <row r="843" customFormat="false" ht="15.75" hidden="false" customHeight="true" outlineLevel="0" collapsed="false">
      <c r="C843" s="193"/>
      <c r="D843" s="193"/>
    </row>
    <row r="844" customFormat="false" ht="15.75" hidden="false" customHeight="true" outlineLevel="0" collapsed="false">
      <c r="C844" s="193"/>
      <c r="D844" s="193"/>
    </row>
    <row r="845" customFormat="false" ht="15.75" hidden="false" customHeight="true" outlineLevel="0" collapsed="false">
      <c r="C845" s="193"/>
      <c r="D845" s="193"/>
    </row>
    <row r="846" customFormat="false" ht="15.75" hidden="false" customHeight="true" outlineLevel="0" collapsed="false">
      <c r="C846" s="193"/>
      <c r="D846" s="193"/>
    </row>
    <row r="847" customFormat="false" ht="15.75" hidden="false" customHeight="true" outlineLevel="0" collapsed="false">
      <c r="C847" s="193"/>
      <c r="D847" s="193"/>
    </row>
    <row r="848" customFormat="false" ht="15.75" hidden="false" customHeight="true" outlineLevel="0" collapsed="false">
      <c r="C848" s="193"/>
      <c r="D848" s="193"/>
    </row>
    <row r="849" customFormat="false" ht="15.75" hidden="false" customHeight="true" outlineLevel="0" collapsed="false">
      <c r="C849" s="193"/>
      <c r="D849" s="193"/>
    </row>
    <row r="850" customFormat="false" ht="15.75" hidden="false" customHeight="true" outlineLevel="0" collapsed="false">
      <c r="C850" s="193"/>
      <c r="D850" s="193"/>
    </row>
    <row r="851" customFormat="false" ht="15.75" hidden="false" customHeight="true" outlineLevel="0" collapsed="false">
      <c r="C851" s="193"/>
      <c r="D851" s="193"/>
    </row>
    <row r="852" customFormat="false" ht="15.75" hidden="false" customHeight="true" outlineLevel="0" collapsed="false">
      <c r="C852" s="193"/>
      <c r="D852" s="193"/>
    </row>
    <row r="853" customFormat="false" ht="15.75" hidden="false" customHeight="true" outlineLevel="0" collapsed="false">
      <c r="C853" s="193"/>
      <c r="D853" s="193"/>
    </row>
    <row r="854" customFormat="false" ht="15.75" hidden="false" customHeight="true" outlineLevel="0" collapsed="false">
      <c r="C854" s="193"/>
      <c r="D854" s="193"/>
    </row>
    <row r="855" customFormat="false" ht="15.75" hidden="false" customHeight="true" outlineLevel="0" collapsed="false">
      <c r="C855" s="193"/>
      <c r="D855" s="193"/>
    </row>
    <row r="856" customFormat="false" ht="15.75" hidden="false" customHeight="true" outlineLevel="0" collapsed="false">
      <c r="C856" s="193"/>
      <c r="D856" s="193"/>
    </row>
    <row r="857" customFormat="false" ht="15.75" hidden="false" customHeight="true" outlineLevel="0" collapsed="false">
      <c r="C857" s="193"/>
      <c r="D857" s="193"/>
    </row>
    <row r="858" customFormat="false" ht="15.75" hidden="false" customHeight="true" outlineLevel="0" collapsed="false">
      <c r="C858" s="193"/>
      <c r="D858" s="193"/>
    </row>
    <row r="859" customFormat="false" ht="15.75" hidden="false" customHeight="true" outlineLevel="0" collapsed="false">
      <c r="C859" s="193"/>
      <c r="D859" s="193"/>
    </row>
    <row r="860" customFormat="false" ht="15.75" hidden="false" customHeight="true" outlineLevel="0" collapsed="false">
      <c r="C860" s="193"/>
      <c r="D860" s="193"/>
    </row>
    <row r="861" customFormat="false" ht="15.75" hidden="false" customHeight="true" outlineLevel="0" collapsed="false">
      <c r="C861" s="193"/>
      <c r="D861" s="193"/>
    </row>
    <row r="862" customFormat="false" ht="15.75" hidden="false" customHeight="true" outlineLevel="0" collapsed="false">
      <c r="C862" s="193"/>
      <c r="D862" s="193"/>
    </row>
    <row r="863" customFormat="false" ht="15.75" hidden="false" customHeight="true" outlineLevel="0" collapsed="false">
      <c r="C863" s="193"/>
      <c r="D863" s="193"/>
    </row>
    <row r="864" customFormat="false" ht="15.75" hidden="false" customHeight="true" outlineLevel="0" collapsed="false">
      <c r="C864" s="193"/>
      <c r="D864" s="193"/>
    </row>
    <row r="865" customFormat="false" ht="15.75" hidden="false" customHeight="true" outlineLevel="0" collapsed="false">
      <c r="C865" s="193"/>
      <c r="D865" s="193"/>
    </row>
    <row r="866" customFormat="false" ht="15.75" hidden="false" customHeight="true" outlineLevel="0" collapsed="false">
      <c r="C866" s="193"/>
      <c r="D866" s="193"/>
    </row>
    <row r="867" customFormat="false" ht="15.75" hidden="false" customHeight="true" outlineLevel="0" collapsed="false">
      <c r="C867" s="193"/>
      <c r="D867" s="193"/>
    </row>
    <row r="868" customFormat="false" ht="15.75" hidden="false" customHeight="true" outlineLevel="0" collapsed="false">
      <c r="C868" s="193"/>
      <c r="D868" s="193"/>
    </row>
    <row r="869" customFormat="false" ht="15.75" hidden="false" customHeight="true" outlineLevel="0" collapsed="false">
      <c r="C869" s="193"/>
      <c r="D869" s="193"/>
    </row>
    <row r="870" customFormat="false" ht="15.75" hidden="false" customHeight="true" outlineLevel="0" collapsed="false">
      <c r="C870" s="193"/>
      <c r="D870" s="193"/>
    </row>
    <row r="871" customFormat="false" ht="15.75" hidden="false" customHeight="true" outlineLevel="0" collapsed="false">
      <c r="C871" s="193"/>
      <c r="D871" s="193"/>
    </row>
    <row r="872" customFormat="false" ht="15.75" hidden="false" customHeight="true" outlineLevel="0" collapsed="false">
      <c r="C872" s="193"/>
      <c r="D872" s="193"/>
    </row>
    <row r="873" customFormat="false" ht="15.75" hidden="false" customHeight="true" outlineLevel="0" collapsed="false">
      <c r="C873" s="193"/>
      <c r="D873" s="193"/>
    </row>
    <row r="874" customFormat="false" ht="15.75" hidden="false" customHeight="true" outlineLevel="0" collapsed="false">
      <c r="C874" s="193"/>
      <c r="D874" s="193"/>
    </row>
    <row r="875" customFormat="false" ht="15.75" hidden="false" customHeight="true" outlineLevel="0" collapsed="false">
      <c r="C875" s="193"/>
      <c r="D875" s="193"/>
    </row>
    <row r="876" customFormat="false" ht="15.75" hidden="false" customHeight="true" outlineLevel="0" collapsed="false">
      <c r="C876" s="193"/>
      <c r="D876" s="193"/>
    </row>
    <row r="877" customFormat="false" ht="15.75" hidden="false" customHeight="true" outlineLevel="0" collapsed="false">
      <c r="C877" s="193"/>
      <c r="D877" s="193"/>
    </row>
    <row r="878" customFormat="false" ht="15.75" hidden="false" customHeight="true" outlineLevel="0" collapsed="false">
      <c r="C878" s="193"/>
      <c r="D878" s="193"/>
    </row>
    <row r="879" customFormat="false" ht="15.75" hidden="false" customHeight="true" outlineLevel="0" collapsed="false">
      <c r="C879" s="193"/>
      <c r="D879" s="193"/>
    </row>
    <row r="880" customFormat="false" ht="15.75" hidden="false" customHeight="true" outlineLevel="0" collapsed="false">
      <c r="C880" s="193"/>
      <c r="D880" s="193"/>
    </row>
    <row r="881" customFormat="false" ht="15.75" hidden="false" customHeight="true" outlineLevel="0" collapsed="false">
      <c r="C881" s="193"/>
      <c r="D881" s="193"/>
    </row>
    <row r="882" customFormat="false" ht="15.75" hidden="false" customHeight="true" outlineLevel="0" collapsed="false">
      <c r="C882" s="193"/>
      <c r="D882" s="193"/>
    </row>
    <row r="883" customFormat="false" ht="15.75" hidden="false" customHeight="true" outlineLevel="0" collapsed="false">
      <c r="C883" s="193"/>
      <c r="D883" s="193"/>
    </row>
    <row r="884" customFormat="false" ht="15.75" hidden="false" customHeight="true" outlineLevel="0" collapsed="false">
      <c r="C884" s="193"/>
      <c r="D884" s="193"/>
    </row>
    <row r="885" customFormat="false" ht="15.75" hidden="false" customHeight="true" outlineLevel="0" collapsed="false">
      <c r="C885" s="193"/>
      <c r="D885" s="193"/>
    </row>
    <row r="886" customFormat="false" ht="15.75" hidden="false" customHeight="true" outlineLevel="0" collapsed="false">
      <c r="C886" s="193"/>
      <c r="D886" s="193"/>
    </row>
    <row r="887" customFormat="false" ht="15.75" hidden="false" customHeight="true" outlineLevel="0" collapsed="false">
      <c r="C887" s="193"/>
      <c r="D887" s="193"/>
    </row>
    <row r="888" customFormat="false" ht="15.75" hidden="false" customHeight="true" outlineLevel="0" collapsed="false">
      <c r="C888" s="193"/>
      <c r="D888" s="193"/>
    </row>
    <row r="889" customFormat="false" ht="15.75" hidden="false" customHeight="true" outlineLevel="0" collapsed="false">
      <c r="C889" s="193"/>
      <c r="D889" s="193"/>
    </row>
    <row r="890" customFormat="false" ht="15.75" hidden="false" customHeight="true" outlineLevel="0" collapsed="false">
      <c r="C890" s="193"/>
      <c r="D890" s="193"/>
    </row>
    <row r="891" customFormat="false" ht="15.75" hidden="false" customHeight="true" outlineLevel="0" collapsed="false">
      <c r="C891" s="193"/>
      <c r="D891" s="193"/>
    </row>
    <row r="892" customFormat="false" ht="15.75" hidden="false" customHeight="true" outlineLevel="0" collapsed="false">
      <c r="C892" s="193"/>
      <c r="D892" s="193"/>
    </row>
    <row r="893" customFormat="false" ht="15.75" hidden="false" customHeight="true" outlineLevel="0" collapsed="false">
      <c r="C893" s="193"/>
      <c r="D893" s="193"/>
    </row>
    <row r="894" customFormat="false" ht="15.75" hidden="false" customHeight="true" outlineLevel="0" collapsed="false">
      <c r="C894" s="193"/>
      <c r="D894" s="193"/>
    </row>
    <row r="895" customFormat="false" ht="15.75" hidden="false" customHeight="true" outlineLevel="0" collapsed="false">
      <c r="C895" s="193"/>
      <c r="D895" s="193"/>
    </row>
    <row r="896" customFormat="false" ht="15.75" hidden="false" customHeight="true" outlineLevel="0" collapsed="false">
      <c r="C896" s="193"/>
      <c r="D896" s="193"/>
    </row>
    <row r="897" customFormat="false" ht="15.75" hidden="false" customHeight="true" outlineLevel="0" collapsed="false">
      <c r="C897" s="193"/>
      <c r="D897" s="193"/>
    </row>
    <row r="898" customFormat="false" ht="15.75" hidden="false" customHeight="true" outlineLevel="0" collapsed="false">
      <c r="C898" s="193"/>
      <c r="D898" s="193"/>
    </row>
    <row r="899" customFormat="false" ht="15.75" hidden="false" customHeight="true" outlineLevel="0" collapsed="false">
      <c r="C899" s="193"/>
      <c r="D899" s="193"/>
    </row>
    <row r="900" customFormat="false" ht="15.75" hidden="false" customHeight="true" outlineLevel="0" collapsed="false">
      <c r="C900" s="193"/>
      <c r="D900" s="193"/>
    </row>
    <row r="901" customFormat="false" ht="15.75" hidden="false" customHeight="true" outlineLevel="0" collapsed="false">
      <c r="C901" s="193"/>
      <c r="D901" s="193"/>
    </row>
    <row r="902" customFormat="false" ht="15.75" hidden="false" customHeight="true" outlineLevel="0" collapsed="false">
      <c r="C902" s="193"/>
      <c r="D902" s="193"/>
    </row>
    <row r="903" customFormat="false" ht="15.75" hidden="false" customHeight="true" outlineLevel="0" collapsed="false">
      <c r="C903" s="193"/>
      <c r="D903" s="193"/>
    </row>
    <row r="904" customFormat="false" ht="15.75" hidden="false" customHeight="true" outlineLevel="0" collapsed="false">
      <c r="C904" s="193"/>
      <c r="D904" s="193"/>
    </row>
    <row r="905" customFormat="false" ht="15.75" hidden="false" customHeight="true" outlineLevel="0" collapsed="false">
      <c r="C905" s="193"/>
      <c r="D905" s="193"/>
    </row>
    <row r="906" customFormat="false" ht="15.75" hidden="false" customHeight="true" outlineLevel="0" collapsed="false">
      <c r="C906" s="193"/>
      <c r="D906" s="193"/>
    </row>
    <row r="907" customFormat="false" ht="15.75" hidden="false" customHeight="true" outlineLevel="0" collapsed="false">
      <c r="C907" s="193"/>
      <c r="D907" s="193"/>
    </row>
    <row r="908" customFormat="false" ht="15.75" hidden="false" customHeight="true" outlineLevel="0" collapsed="false">
      <c r="C908" s="193"/>
      <c r="D908" s="193"/>
    </row>
    <row r="909" customFormat="false" ht="15.75" hidden="false" customHeight="true" outlineLevel="0" collapsed="false">
      <c r="C909" s="193"/>
      <c r="D909" s="193"/>
    </row>
    <row r="910" customFormat="false" ht="15.75" hidden="false" customHeight="true" outlineLevel="0" collapsed="false">
      <c r="C910" s="193"/>
      <c r="D910" s="193"/>
    </row>
    <row r="911" customFormat="false" ht="15.75" hidden="false" customHeight="true" outlineLevel="0" collapsed="false">
      <c r="C911" s="193"/>
      <c r="D911" s="193"/>
    </row>
    <row r="912" customFormat="false" ht="15.75" hidden="false" customHeight="true" outlineLevel="0" collapsed="false">
      <c r="C912" s="193"/>
      <c r="D912" s="193"/>
    </row>
    <row r="913" customFormat="false" ht="15.75" hidden="false" customHeight="true" outlineLevel="0" collapsed="false">
      <c r="C913" s="193"/>
      <c r="D913" s="193"/>
    </row>
    <row r="914" customFormat="false" ht="15.75" hidden="false" customHeight="true" outlineLevel="0" collapsed="false">
      <c r="C914" s="193"/>
      <c r="D914" s="193"/>
    </row>
    <row r="915" customFormat="false" ht="15.75" hidden="false" customHeight="true" outlineLevel="0" collapsed="false">
      <c r="C915" s="193"/>
      <c r="D915" s="193"/>
    </row>
    <row r="916" customFormat="false" ht="15.75" hidden="false" customHeight="true" outlineLevel="0" collapsed="false">
      <c r="C916" s="193"/>
      <c r="D916" s="193"/>
    </row>
    <row r="917" customFormat="false" ht="15.75" hidden="false" customHeight="true" outlineLevel="0" collapsed="false">
      <c r="C917" s="193"/>
      <c r="D917" s="193"/>
    </row>
    <row r="918" customFormat="false" ht="15.75" hidden="false" customHeight="true" outlineLevel="0" collapsed="false">
      <c r="C918" s="193"/>
      <c r="D918" s="193"/>
    </row>
    <row r="919" customFormat="false" ht="15.75" hidden="false" customHeight="true" outlineLevel="0" collapsed="false">
      <c r="C919" s="193"/>
      <c r="D919" s="193"/>
    </row>
    <row r="920" customFormat="false" ht="15.75" hidden="false" customHeight="true" outlineLevel="0" collapsed="false">
      <c r="C920" s="193"/>
      <c r="D920" s="193"/>
    </row>
    <row r="921" customFormat="false" ht="15.75" hidden="false" customHeight="true" outlineLevel="0" collapsed="false">
      <c r="C921" s="193"/>
      <c r="D921" s="193"/>
    </row>
    <row r="922" customFormat="false" ht="15.75" hidden="false" customHeight="true" outlineLevel="0" collapsed="false">
      <c r="C922" s="193"/>
      <c r="D922" s="193"/>
    </row>
    <row r="923" customFormat="false" ht="15.75" hidden="false" customHeight="true" outlineLevel="0" collapsed="false">
      <c r="C923" s="193"/>
      <c r="D923" s="193"/>
    </row>
    <row r="924" customFormat="false" ht="15.75" hidden="false" customHeight="true" outlineLevel="0" collapsed="false">
      <c r="C924" s="193"/>
      <c r="D924" s="193"/>
    </row>
    <row r="925" customFormat="false" ht="15.75" hidden="false" customHeight="true" outlineLevel="0" collapsed="false">
      <c r="C925" s="193"/>
      <c r="D925" s="193"/>
    </row>
    <row r="926" customFormat="false" ht="15.75" hidden="false" customHeight="true" outlineLevel="0" collapsed="false">
      <c r="C926" s="193"/>
      <c r="D926" s="193"/>
    </row>
    <row r="927" customFormat="false" ht="15.75" hidden="false" customHeight="true" outlineLevel="0" collapsed="false">
      <c r="C927" s="193"/>
      <c r="D927" s="193"/>
    </row>
    <row r="928" customFormat="false" ht="15.75" hidden="false" customHeight="true" outlineLevel="0" collapsed="false">
      <c r="C928" s="193"/>
      <c r="D928" s="193"/>
    </row>
    <row r="929" customFormat="false" ht="15.75" hidden="false" customHeight="true" outlineLevel="0" collapsed="false">
      <c r="C929" s="193"/>
      <c r="D929" s="193"/>
    </row>
    <row r="930" customFormat="false" ht="15.75" hidden="false" customHeight="true" outlineLevel="0" collapsed="false">
      <c r="C930" s="193"/>
      <c r="D930" s="193"/>
    </row>
    <row r="931" customFormat="false" ht="15.75" hidden="false" customHeight="true" outlineLevel="0" collapsed="false">
      <c r="C931" s="193"/>
      <c r="D931" s="193"/>
    </row>
    <row r="932" customFormat="false" ht="15.75" hidden="false" customHeight="true" outlineLevel="0" collapsed="false">
      <c r="C932" s="193"/>
      <c r="D932" s="193"/>
    </row>
    <row r="933" customFormat="false" ht="15.75" hidden="false" customHeight="true" outlineLevel="0" collapsed="false">
      <c r="C933" s="193"/>
      <c r="D933" s="193"/>
    </row>
    <row r="934" customFormat="false" ht="15.75" hidden="false" customHeight="true" outlineLevel="0" collapsed="false">
      <c r="C934" s="193"/>
      <c r="D934" s="193"/>
    </row>
    <row r="935" customFormat="false" ht="15.75" hidden="false" customHeight="true" outlineLevel="0" collapsed="false">
      <c r="C935" s="193"/>
      <c r="D935" s="193"/>
    </row>
    <row r="936" customFormat="false" ht="15.75" hidden="false" customHeight="true" outlineLevel="0" collapsed="false">
      <c r="C936" s="193"/>
      <c r="D936" s="193"/>
    </row>
    <row r="937" customFormat="false" ht="15.75" hidden="false" customHeight="true" outlineLevel="0" collapsed="false">
      <c r="C937" s="193"/>
      <c r="D937" s="193"/>
    </row>
    <row r="938" customFormat="false" ht="15.75" hidden="false" customHeight="true" outlineLevel="0" collapsed="false">
      <c r="C938" s="193"/>
      <c r="D938" s="193"/>
    </row>
    <row r="939" customFormat="false" ht="15.75" hidden="false" customHeight="true" outlineLevel="0" collapsed="false">
      <c r="C939" s="193"/>
      <c r="D939" s="193"/>
    </row>
    <row r="940" customFormat="false" ht="15.75" hidden="false" customHeight="true" outlineLevel="0" collapsed="false">
      <c r="C940" s="193"/>
      <c r="D940" s="193"/>
    </row>
    <row r="941" customFormat="false" ht="15.75" hidden="false" customHeight="true" outlineLevel="0" collapsed="false">
      <c r="C941" s="193"/>
      <c r="D941" s="193"/>
    </row>
    <row r="942" customFormat="false" ht="15.75" hidden="false" customHeight="true" outlineLevel="0" collapsed="false">
      <c r="C942" s="193"/>
      <c r="D942" s="193"/>
    </row>
    <row r="943" customFormat="false" ht="15.75" hidden="false" customHeight="true" outlineLevel="0" collapsed="false">
      <c r="C943" s="193"/>
      <c r="D943" s="193"/>
    </row>
    <row r="944" customFormat="false" ht="15.75" hidden="false" customHeight="true" outlineLevel="0" collapsed="false">
      <c r="C944" s="193"/>
      <c r="D944" s="193"/>
    </row>
    <row r="945" customFormat="false" ht="15.75" hidden="false" customHeight="true" outlineLevel="0" collapsed="false">
      <c r="C945" s="193"/>
      <c r="D945" s="193"/>
    </row>
    <row r="946" customFormat="false" ht="15.75" hidden="false" customHeight="true" outlineLevel="0" collapsed="false">
      <c r="C946" s="193"/>
      <c r="D946" s="193"/>
    </row>
    <row r="947" customFormat="false" ht="15.75" hidden="false" customHeight="true" outlineLevel="0" collapsed="false">
      <c r="C947" s="193"/>
      <c r="D947" s="193"/>
    </row>
    <row r="948" customFormat="false" ht="15.75" hidden="false" customHeight="true" outlineLevel="0" collapsed="false">
      <c r="C948" s="193"/>
      <c r="D948" s="193"/>
    </row>
    <row r="949" customFormat="false" ht="15.75" hidden="false" customHeight="true" outlineLevel="0" collapsed="false">
      <c r="C949" s="193"/>
      <c r="D949" s="193"/>
    </row>
    <row r="950" customFormat="false" ht="15.75" hidden="false" customHeight="true" outlineLevel="0" collapsed="false">
      <c r="C950" s="193"/>
      <c r="D950" s="193"/>
    </row>
    <row r="951" customFormat="false" ht="15.75" hidden="false" customHeight="true" outlineLevel="0" collapsed="false">
      <c r="C951" s="193"/>
      <c r="D951" s="193"/>
    </row>
    <row r="952" customFormat="false" ht="15.75" hidden="false" customHeight="true" outlineLevel="0" collapsed="false">
      <c r="C952" s="193"/>
      <c r="D952" s="193"/>
    </row>
    <row r="953" customFormat="false" ht="15.75" hidden="false" customHeight="true" outlineLevel="0" collapsed="false">
      <c r="C953" s="193"/>
      <c r="D953" s="193"/>
    </row>
    <row r="954" customFormat="false" ht="15.75" hidden="false" customHeight="true" outlineLevel="0" collapsed="false">
      <c r="C954" s="193"/>
      <c r="D954" s="193"/>
    </row>
    <row r="955" customFormat="false" ht="15.75" hidden="false" customHeight="true" outlineLevel="0" collapsed="false">
      <c r="C955" s="193"/>
      <c r="D955" s="193"/>
    </row>
    <row r="956" customFormat="false" ht="15.75" hidden="false" customHeight="true" outlineLevel="0" collapsed="false">
      <c r="C956" s="193"/>
      <c r="D956" s="193"/>
    </row>
    <row r="957" customFormat="false" ht="15.75" hidden="false" customHeight="true" outlineLevel="0" collapsed="false">
      <c r="C957" s="193"/>
      <c r="D957" s="193"/>
    </row>
    <row r="958" customFormat="false" ht="15.75" hidden="false" customHeight="true" outlineLevel="0" collapsed="false">
      <c r="C958" s="193"/>
      <c r="D958" s="193"/>
    </row>
    <row r="959" customFormat="false" ht="15.75" hidden="false" customHeight="true" outlineLevel="0" collapsed="false">
      <c r="C959" s="193"/>
      <c r="D959" s="193"/>
    </row>
    <row r="960" customFormat="false" ht="15.75" hidden="false" customHeight="true" outlineLevel="0" collapsed="false">
      <c r="C960" s="193"/>
      <c r="D960" s="193"/>
    </row>
    <row r="961" customFormat="false" ht="15.75" hidden="false" customHeight="true" outlineLevel="0" collapsed="false">
      <c r="C961" s="193"/>
      <c r="D961" s="193"/>
    </row>
    <row r="962" customFormat="false" ht="15.75" hidden="false" customHeight="true" outlineLevel="0" collapsed="false">
      <c r="C962" s="193"/>
      <c r="D962" s="193"/>
    </row>
    <row r="963" customFormat="false" ht="15.75" hidden="false" customHeight="true" outlineLevel="0" collapsed="false">
      <c r="C963" s="193"/>
      <c r="D963" s="193"/>
    </row>
    <row r="964" customFormat="false" ht="15.75" hidden="false" customHeight="true" outlineLevel="0" collapsed="false">
      <c r="C964" s="193"/>
      <c r="D964" s="193"/>
    </row>
    <row r="965" customFormat="false" ht="15.75" hidden="false" customHeight="true" outlineLevel="0" collapsed="false">
      <c r="C965" s="193"/>
      <c r="D965" s="193"/>
    </row>
    <row r="966" customFormat="false" ht="15.75" hidden="false" customHeight="true" outlineLevel="0" collapsed="false">
      <c r="C966" s="193"/>
      <c r="D966" s="193"/>
    </row>
    <row r="967" customFormat="false" ht="15.75" hidden="false" customHeight="true" outlineLevel="0" collapsed="false">
      <c r="C967" s="193"/>
      <c r="D967" s="193"/>
    </row>
    <row r="968" customFormat="false" ht="15.75" hidden="false" customHeight="true" outlineLevel="0" collapsed="false">
      <c r="C968" s="193"/>
      <c r="D968" s="193"/>
    </row>
    <row r="969" customFormat="false" ht="15.75" hidden="false" customHeight="true" outlineLevel="0" collapsed="false">
      <c r="C969" s="193"/>
      <c r="D969" s="193"/>
    </row>
    <row r="970" customFormat="false" ht="15.75" hidden="false" customHeight="true" outlineLevel="0" collapsed="false">
      <c r="C970" s="193"/>
      <c r="D970" s="193"/>
    </row>
    <row r="971" customFormat="false" ht="15.75" hidden="false" customHeight="true" outlineLevel="0" collapsed="false">
      <c r="C971" s="193"/>
      <c r="D971" s="193"/>
    </row>
    <row r="972" customFormat="false" ht="15.75" hidden="false" customHeight="true" outlineLevel="0" collapsed="false">
      <c r="C972" s="193"/>
      <c r="D972" s="193"/>
    </row>
    <row r="973" customFormat="false" ht="15.75" hidden="false" customHeight="true" outlineLevel="0" collapsed="false">
      <c r="C973" s="193"/>
      <c r="D973" s="193"/>
    </row>
    <row r="974" customFormat="false" ht="15.75" hidden="false" customHeight="true" outlineLevel="0" collapsed="false">
      <c r="C974" s="193"/>
      <c r="D974" s="193"/>
    </row>
    <row r="975" customFormat="false" ht="15.75" hidden="false" customHeight="true" outlineLevel="0" collapsed="false">
      <c r="C975" s="193"/>
      <c r="D975" s="193"/>
    </row>
    <row r="976" customFormat="false" ht="15.75" hidden="false" customHeight="true" outlineLevel="0" collapsed="false">
      <c r="C976" s="193"/>
      <c r="D976" s="193"/>
    </row>
    <row r="977" customFormat="false" ht="15.75" hidden="false" customHeight="true" outlineLevel="0" collapsed="false">
      <c r="C977" s="193"/>
      <c r="D977" s="193"/>
    </row>
    <row r="978" customFormat="false" ht="15.75" hidden="false" customHeight="true" outlineLevel="0" collapsed="false">
      <c r="C978" s="193"/>
      <c r="D978" s="193"/>
    </row>
    <row r="979" customFormat="false" ht="15.75" hidden="false" customHeight="true" outlineLevel="0" collapsed="false">
      <c r="C979" s="193"/>
      <c r="D979" s="193"/>
    </row>
    <row r="980" customFormat="false" ht="15.75" hidden="false" customHeight="true" outlineLevel="0" collapsed="false">
      <c r="C980" s="193"/>
      <c r="D980" s="193"/>
    </row>
    <row r="981" customFormat="false" ht="15.75" hidden="false" customHeight="true" outlineLevel="0" collapsed="false">
      <c r="C981" s="193"/>
      <c r="D981" s="193"/>
    </row>
    <row r="982" customFormat="false" ht="15.75" hidden="false" customHeight="true" outlineLevel="0" collapsed="false">
      <c r="C982" s="193"/>
      <c r="D982" s="193"/>
    </row>
    <row r="983" customFormat="false" ht="15.75" hidden="false" customHeight="true" outlineLevel="0" collapsed="false">
      <c r="C983" s="193"/>
      <c r="D983" s="193"/>
    </row>
    <row r="984" customFormat="false" ht="15.75" hidden="false" customHeight="true" outlineLevel="0" collapsed="false">
      <c r="C984" s="193"/>
      <c r="D984" s="193"/>
    </row>
    <row r="985" customFormat="false" ht="15.75" hidden="false" customHeight="true" outlineLevel="0" collapsed="false">
      <c r="C985" s="193"/>
      <c r="D985" s="193"/>
    </row>
    <row r="986" customFormat="false" ht="15.75" hidden="false" customHeight="true" outlineLevel="0" collapsed="false">
      <c r="C986" s="193"/>
      <c r="D986" s="193"/>
    </row>
    <row r="987" customFormat="false" ht="15.75" hidden="false" customHeight="true" outlineLevel="0" collapsed="false">
      <c r="C987" s="193"/>
      <c r="D987" s="193"/>
    </row>
    <row r="988" customFormat="false" ht="15.75" hidden="false" customHeight="true" outlineLevel="0" collapsed="false">
      <c r="C988" s="193"/>
      <c r="D988" s="193"/>
    </row>
    <row r="989" customFormat="false" ht="15.75" hidden="false" customHeight="true" outlineLevel="0" collapsed="false">
      <c r="C989" s="193"/>
      <c r="D989" s="193"/>
    </row>
    <row r="990" customFormat="false" ht="15.75" hidden="false" customHeight="true" outlineLevel="0" collapsed="false">
      <c r="C990" s="193"/>
      <c r="D990" s="193"/>
    </row>
    <row r="991" customFormat="false" ht="15.75" hidden="false" customHeight="true" outlineLevel="0" collapsed="false">
      <c r="C991" s="193"/>
      <c r="D991" s="193"/>
    </row>
    <row r="992" customFormat="false" ht="15.75" hidden="false" customHeight="true" outlineLevel="0" collapsed="false">
      <c r="C992" s="193"/>
      <c r="D992" s="193"/>
    </row>
    <row r="993" customFormat="false" ht="15.75" hidden="false" customHeight="true" outlineLevel="0" collapsed="false">
      <c r="C993" s="193"/>
      <c r="D993" s="193"/>
    </row>
    <row r="994" customFormat="false" ht="15.75" hidden="false" customHeight="true" outlineLevel="0" collapsed="false">
      <c r="C994" s="193"/>
      <c r="D994" s="193"/>
    </row>
    <row r="995" customFormat="false" ht="15.75" hidden="false" customHeight="true" outlineLevel="0" collapsed="false">
      <c r="C995" s="193"/>
      <c r="D995" s="193"/>
    </row>
    <row r="996" customFormat="false" ht="15.75" hidden="false" customHeight="true" outlineLevel="0" collapsed="false">
      <c r="C996" s="193"/>
      <c r="D996" s="193"/>
    </row>
    <row r="997" customFormat="false" ht="15.75" hidden="false" customHeight="true" outlineLevel="0" collapsed="false">
      <c r="C997" s="193"/>
      <c r="D997" s="193"/>
    </row>
    <row r="998" customFormat="false" ht="15.75" hidden="false" customHeight="true" outlineLevel="0" collapsed="false">
      <c r="C998" s="193"/>
      <c r="D998" s="193"/>
    </row>
    <row r="999" customFormat="false" ht="15.75" hidden="false" customHeight="true" outlineLevel="0" collapsed="false">
      <c r="C999" s="193"/>
      <c r="D999" s="193"/>
    </row>
    <row r="1000" customFormat="false" ht="15.75" hidden="false" customHeight="true" outlineLevel="0" collapsed="false">
      <c r="C1000" s="193"/>
      <c r="D1000" s="193"/>
    </row>
  </sheetData>
  <sheetProtection algorithmName="SHA-512" hashValue="io4nnrOMPzGNNoBTOVBBvbvMqNAy0VKqWYFj3IJBjXNxtV0BH2XjP1ToowFNbqrnyo023ckKAY4yGeb9LyWUVA==" saltValue="Szg7Mvxc1QBPn30CUdb/ug==" spinCount="100000" sheet="true" objects="true" scenarios="true"/>
  <mergeCells count="6">
    <mergeCell ref="A1:G1"/>
    <mergeCell ref="A2:G2"/>
    <mergeCell ref="B2:C2"/>
    <mergeCell ref="B4:C4"/>
    <mergeCell ref="A18:G18"/>
    <mergeCell ref="A31:G31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2026-03-23T18:37:32Z</dcterms:created>
  <dc:creator>RAUL</dc:creator>
  <dc:description/>
  <dc:language>en-US</dc:language>
  <cp:lastModifiedBy>Raúl Pascual Nieto</cp:lastModifiedBy>
  <dcterms:modified xsi:type="dcterms:W3CDTF">2026-08-22T04:10:40Z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